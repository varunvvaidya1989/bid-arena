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ction Sheet" sheetId="1" r:id="rId4"/>
    <sheet state="visible" name="Player List" sheetId="2" r:id="rId5"/>
  </sheets>
  <definedNames>
    <definedName hidden="1" localSheetId="1" name="_xlnm._FilterDatabase">'Player List'!$A$1:$I$81</definedName>
  </definedNames>
  <calcPr/>
  <extLst>
    <ext uri="GoogleSheetsCustomDataVersion2">
      <go:sheetsCustomData xmlns:go="http://customooxmlschemas.google.com/" r:id="rId6" roundtripDataChecksum="6FeNwds+CCNhp139VQd014oLmDXjR2yKc0AJOIwRImk="/>
    </ext>
  </extLst>
</workbook>
</file>

<file path=xl/sharedStrings.xml><?xml version="1.0" encoding="utf-8"?>
<sst xmlns="http://schemas.openxmlformats.org/spreadsheetml/2006/main" count="598" uniqueCount="138">
  <si>
    <t>White Bears</t>
  </si>
  <si>
    <t>Black Pandas</t>
  </si>
  <si>
    <t>Pink Panthers</t>
  </si>
  <si>
    <t>Orange Tigers</t>
  </si>
  <si>
    <t>Brown Rhinos</t>
  </si>
  <si>
    <t>Sr. No.</t>
  </si>
  <si>
    <t>Player Name</t>
  </si>
  <si>
    <t>Base Price</t>
  </si>
  <si>
    <t>No</t>
  </si>
  <si>
    <t>Player</t>
  </si>
  <si>
    <t>Price</t>
  </si>
  <si>
    <t>Neeraj Singh Mehta</t>
  </si>
  <si>
    <t>Ankit K</t>
  </si>
  <si>
    <t>Ritesh S</t>
  </si>
  <si>
    <t>Vishal P</t>
  </si>
  <si>
    <t>Dipesh S</t>
  </si>
  <si>
    <t>Pratik M</t>
  </si>
  <si>
    <t>Neelesh Nanda</t>
  </si>
  <si>
    <t>Debutant</t>
  </si>
  <si>
    <t>Raunak Datar</t>
  </si>
  <si>
    <t>Abhishek Naik</t>
  </si>
  <si>
    <t>Sanchit Deshmukh</t>
  </si>
  <si>
    <t>Pratham Patil</t>
  </si>
  <si>
    <t>Govind Pandey</t>
  </si>
  <si>
    <t>Abhijit Desale</t>
  </si>
  <si>
    <t>Jordan Dey</t>
  </si>
  <si>
    <t>Mandar Mayekar</t>
  </si>
  <si>
    <t>Rohit dongre</t>
  </si>
  <si>
    <t>Satish Goyal</t>
  </si>
  <si>
    <t>Amount Consumed</t>
  </si>
  <si>
    <t>Gandhar Patwardhan</t>
  </si>
  <si>
    <t>Players left</t>
  </si>
  <si>
    <t>Govind varma</t>
  </si>
  <si>
    <t>Amount left</t>
  </si>
  <si>
    <t>Soumyadeep mukherjee</t>
  </si>
  <si>
    <t>Max Bid</t>
  </si>
  <si>
    <t>Ravindra Popatrao Jagdale</t>
  </si>
  <si>
    <t>Adesh more</t>
  </si>
  <si>
    <t>Grey Fox</t>
  </si>
  <si>
    <t>Red Bulls</t>
  </si>
  <si>
    <t>Green Iguanas</t>
  </si>
  <si>
    <t>Golden Eagles</t>
  </si>
  <si>
    <t>Silver Snakes</t>
  </si>
  <si>
    <t>Pritish Manjavkar</t>
  </si>
  <si>
    <t>Ankit Girhe</t>
  </si>
  <si>
    <t xml:space="preserve">Varun </t>
  </si>
  <si>
    <t>Archit T</t>
  </si>
  <si>
    <t>Parmesh P</t>
  </si>
  <si>
    <t>Hrishi S</t>
  </si>
  <si>
    <t>Avinash S</t>
  </si>
  <si>
    <t>Naman Doshi</t>
  </si>
  <si>
    <t>Harshad Babade</t>
  </si>
  <si>
    <t>Pratham</t>
  </si>
  <si>
    <t>Rohit Thorat</t>
  </si>
  <si>
    <t>Roshan</t>
  </si>
  <si>
    <t>Ganesh Gavhane</t>
  </si>
  <si>
    <t>Kiran</t>
  </si>
  <si>
    <t>Hrushikesh tankkar</t>
  </si>
  <si>
    <t>Prasad Pradeep Khismatrao</t>
  </si>
  <si>
    <t>Manish Patil</t>
  </si>
  <si>
    <t>Sushil Bhosale</t>
  </si>
  <si>
    <t>Ashish Sumariya</t>
  </si>
  <si>
    <t>Avinash Shelke</t>
  </si>
  <si>
    <t>Ambrish</t>
  </si>
  <si>
    <t>satya vardhan</t>
  </si>
  <si>
    <t>Kapil D</t>
  </si>
  <si>
    <t>Archit Deshmukh</t>
  </si>
  <si>
    <t>Anoop Nair</t>
  </si>
  <si>
    <t>Pravin Chaudhari</t>
  </si>
  <si>
    <t>Santosh Gawade</t>
  </si>
  <si>
    <t>Rakesh Kumar</t>
  </si>
  <si>
    <t>Shubham Bahad</t>
  </si>
  <si>
    <t>Hemant shinde</t>
  </si>
  <si>
    <t>Swapnil Saraf</t>
  </si>
  <si>
    <t>Sanjay Punjabi</t>
  </si>
  <si>
    <t>Nilesh m.lad</t>
  </si>
  <si>
    <t>Kiran Jadhav</t>
  </si>
  <si>
    <t>Sujay Kulkarni</t>
  </si>
  <si>
    <t>Alhad Vikas Phadke</t>
  </si>
  <si>
    <t>Neeraj Deshpande</t>
  </si>
  <si>
    <t>Prashant Chudnaik</t>
  </si>
  <si>
    <t>Karan Thakkar</t>
  </si>
  <si>
    <t>Prashant Suvarna</t>
  </si>
  <si>
    <t>Abhijit Gavankar</t>
  </si>
  <si>
    <t>Dipak Kathe</t>
  </si>
  <si>
    <t>Parag Parekh</t>
  </si>
  <si>
    <t>Akshay Kadam</t>
  </si>
  <si>
    <t>Shailesh Hari Sanap</t>
  </si>
  <si>
    <t>Nilesh Uttamrao Dhote</t>
  </si>
  <si>
    <t>Rohan hemant raut</t>
  </si>
  <si>
    <t>Prathmesh Prakash More</t>
  </si>
  <si>
    <t>Vaibhav Kolhe</t>
  </si>
  <si>
    <t>Roshan Nair</t>
  </si>
  <si>
    <t>Nilesh Dandekar</t>
  </si>
  <si>
    <t>Kaustubh Kulkarni</t>
  </si>
  <si>
    <t>Manmit Niveria</t>
  </si>
  <si>
    <t>Bharat Phegade</t>
  </si>
  <si>
    <t>Akshay Jain</t>
  </si>
  <si>
    <t>Abhijeet Warang</t>
  </si>
  <si>
    <t>Sandeep Bhuse</t>
  </si>
  <si>
    <t>Narayan Nadar</t>
  </si>
  <si>
    <t>Paresh Bhatia</t>
  </si>
  <si>
    <t>Sankshep Dwivedi</t>
  </si>
  <si>
    <t>Ronak Rajendra kucheria</t>
  </si>
  <si>
    <t>Vishal Darkunde</t>
  </si>
  <si>
    <t>Anup Saindane</t>
  </si>
  <si>
    <t>Amod Pathradkar</t>
  </si>
  <si>
    <t>Pratik Chaugule</t>
  </si>
  <si>
    <t>Sagar Kahane</t>
  </si>
  <si>
    <t>Sumit Basak</t>
  </si>
  <si>
    <t>Akshay Salvi</t>
  </si>
  <si>
    <t>Arpan Shinde</t>
  </si>
  <si>
    <t>Nitesh agare</t>
  </si>
  <si>
    <t>Pravin katta</t>
  </si>
  <si>
    <t>Total Amount</t>
  </si>
  <si>
    <t>Players Left</t>
  </si>
  <si>
    <t>Average Price</t>
  </si>
  <si>
    <t>Player Full Name</t>
  </si>
  <si>
    <t>Age</t>
  </si>
  <si>
    <t>Skill</t>
  </si>
  <si>
    <t>Society name</t>
  </si>
  <si>
    <t>Wing</t>
  </si>
  <si>
    <t>Flat No.</t>
  </si>
  <si>
    <t>Whatsapp Number</t>
  </si>
  <si>
    <t>Auction Catagory</t>
  </si>
  <si>
    <t>Serial No.</t>
  </si>
  <si>
    <t>Batsmen</t>
  </si>
  <si>
    <t>Oak</t>
  </si>
  <si>
    <t>C</t>
  </si>
  <si>
    <t>ICON</t>
  </si>
  <si>
    <t>Bowler</t>
  </si>
  <si>
    <t>B</t>
  </si>
  <si>
    <t>All-Rounder</t>
  </si>
  <si>
    <t>Cedar</t>
  </si>
  <si>
    <t>D</t>
  </si>
  <si>
    <t>A</t>
  </si>
  <si>
    <t>Pine</t>
  </si>
  <si>
    <t>A wing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</si>
</sst>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"/>
  </numFmts>
  <fonts count="10">
    <font>
      <sz val="11.0"/>
      <color theme="1"/>
      <name val="Aptos Narrow"/>
      <scheme val="minor"/>
    </font>
    <font>
      <b/>
      <sz val="10.0"/>
      <color theme="1"/>
      <name val="Calibri"/>
    </font>
    <font/>
    <font>
      <b/>
      <sz val="10.0"/>
      <color rgb="FFFFFFFF"/>
      <name val="Calibri"/>
    </font>
    <font>
      <sz val="10.0"/>
      <color theme="1"/>
      <name val="Calibri"/>
    </font>
    <font>
      <b/>
      <sz val="10.0"/>
      <color rgb="FF000000"/>
      <name val="Calibri"/>
    </font>
    <font>
      <sz val="10.0"/>
      <color rgb="FF434343"/>
      <name val="Calibri"/>
    </font>
    <font>
      <b/>
      <sz val="10.0"/>
      <color rgb="FFFFFFFF"/>
      <name val="Roboto"/>
    </font>
    <font>
      <sz val="10.0"/>
      <color rgb="FF434343"/>
      <name val="Roboto"/>
    </font>
    <font>
      <sz val="11.0"/>
      <color theme="1"/>
      <name val="Aptos Narrow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6D6D"/>
        <bgColor rgb="FFFF6D6D"/>
      </patternFill>
    </fill>
    <fill>
      <patternFill patternType="solid">
        <fgColor rgb="FFFF8000"/>
        <bgColor rgb="FFFF8000"/>
      </patternFill>
    </fill>
    <fill>
      <patternFill patternType="solid">
        <fgColor rgb="FF7F6000"/>
        <bgColor rgb="FF7F6000"/>
      </patternFill>
    </fill>
    <fill>
      <patternFill patternType="solid">
        <fgColor rgb="FF8496B0"/>
        <bgColor rgb="FF8496B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44546A"/>
        <bgColor rgb="FF44546A"/>
      </patternFill>
    </fill>
    <fill>
      <patternFill patternType="solid">
        <fgColor rgb="FF999999"/>
        <bgColor rgb="FF999999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5B3F86"/>
        <bgColor rgb="FF5B3F8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0" fillId="0" fontId="4" numFmtId="0" xfId="0" applyFont="1"/>
    <xf borderId="4" fillId="7" fontId="1" numFmtId="0" xfId="0" applyAlignment="1" applyBorder="1" applyFill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4" fillId="4" fontId="1" numFmtId="0" xfId="0" applyAlignment="1" applyBorder="1" applyFont="1">
      <alignment horizontal="center" vertical="bottom"/>
    </xf>
    <xf borderId="4" fillId="5" fontId="1" numFmtId="0" xfId="0" applyAlignment="1" applyBorder="1" applyFont="1">
      <alignment horizontal="center" vertical="bottom"/>
    </xf>
    <xf borderId="4" fillId="6" fontId="1" numFmtId="0" xfId="0" applyAlignment="1" applyBorder="1" applyFont="1">
      <alignment horizontal="center" vertical="bottom"/>
    </xf>
    <xf borderId="4" fillId="8" fontId="5" numFmtId="0" xfId="0" applyAlignment="1" applyBorder="1" applyFill="1" applyFont="1">
      <alignment horizontal="center" vertical="bottom"/>
    </xf>
    <xf borderId="4" fillId="2" fontId="6" numFmtId="0" xfId="0" applyAlignment="1" applyBorder="1" applyFont="1">
      <alignment horizontal="center" shrinkToFit="0" vertical="center" wrapText="1"/>
    </xf>
    <xf borderId="4" fillId="9" fontId="4" numFmtId="164" xfId="0" applyAlignment="1" applyBorder="1" applyFill="1" applyFont="1" applyNumberForma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9" fontId="4" numFmtId="0" xfId="0" applyAlignment="1" applyBorder="1" applyFont="1">
      <alignment horizontal="center" vertical="bottom"/>
    </xf>
    <xf borderId="4" fillId="9" fontId="4" numFmtId="0" xfId="0" applyAlignment="1" applyBorder="1" applyFont="1">
      <alignment horizontal="center" vertical="bottom"/>
    </xf>
    <xf borderId="4" fillId="10" fontId="6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4" fillId="0" fontId="1" numFmtId="164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1" fillId="11" fontId="4" numFmtId="0" xfId="0" applyAlignment="1" applyBorder="1" applyFill="1" applyFont="1">
      <alignment vertical="bottom"/>
    </xf>
    <xf borderId="1" fillId="12" fontId="1" numFmtId="0" xfId="0" applyAlignment="1" applyBorder="1" applyFill="1" applyFont="1">
      <alignment horizontal="center" vertical="bottom"/>
    </xf>
    <xf borderId="1" fillId="13" fontId="3" numFmtId="0" xfId="0" applyAlignment="1" applyBorder="1" applyFill="1" applyFont="1">
      <alignment horizontal="center" vertical="bottom"/>
    </xf>
    <xf borderId="1" fillId="14" fontId="3" numFmtId="0" xfId="0" applyAlignment="1" applyBorder="1" applyFill="1" applyFont="1">
      <alignment horizontal="center" vertical="bottom"/>
    </xf>
    <xf borderId="1" fillId="15" fontId="1" numFmtId="0" xfId="0" applyAlignment="1" applyBorder="1" applyFill="1" applyFont="1">
      <alignment horizontal="center" vertical="bottom"/>
    </xf>
    <xf borderId="1" fillId="16" fontId="1" numFmtId="0" xfId="0" applyAlignment="1" applyBorder="1" applyFill="1" applyFont="1">
      <alignment horizontal="center" vertical="bottom"/>
    </xf>
    <xf borderId="4" fillId="12" fontId="1" numFmtId="0" xfId="0" applyAlignment="1" applyBorder="1" applyFont="1">
      <alignment horizontal="center" vertical="bottom"/>
    </xf>
    <xf borderId="4" fillId="13" fontId="3" numFmtId="0" xfId="0" applyAlignment="1" applyBorder="1" applyFont="1">
      <alignment horizontal="center" vertical="bottom"/>
    </xf>
    <xf borderId="4" fillId="14" fontId="3" numFmtId="0" xfId="0" applyAlignment="1" applyBorder="1" applyFont="1">
      <alignment horizontal="center" vertical="bottom"/>
    </xf>
    <xf borderId="4" fillId="15" fontId="1" numFmtId="0" xfId="0" applyAlignment="1" applyBorder="1" applyFont="1">
      <alignment horizontal="center" vertical="bottom"/>
    </xf>
    <xf borderId="4" fillId="16" fontId="1" numFmtId="0" xfId="0" applyAlignment="1" applyBorder="1" applyFont="1">
      <alignment horizontal="center" vertical="bottom"/>
    </xf>
    <xf borderId="4" fillId="9" fontId="4" numFmtId="0" xfId="0" applyAlignment="1" applyBorder="1" applyFont="1">
      <alignment horizontal="center" readingOrder="0" vertical="bottom"/>
    </xf>
    <xf borderId="5" fillId="9" fontId="4" numFmtId="0" xfId="0" applyAlignment="1" applyBorder="1" applyFont="1">
      <alignment horizontal="center" readingOrder="0" vertical="bottom"/>
    </xf>
    <xf borderId="4" fillId="0" fontId="4" numFmtId="164" xfId="0" applyAlignment="1" applyBorder="1" applyFont="1" applyNumberFormat="1">
      <alignment horizontal="center" readingOrder="0" vertical="bottom"/>
    </xf>
    <xf borderId="4" fillId="9" fontId="4" numFmtId="164" xfId="0" applyAlignment="1" applyBorder="1" applyFont="1" applyNumberFormat="1">
      <alignment horizontal="center" readingOrder="0" vertical="bottom"/>
    </xf>
    <xf borderId="4" fillId="0" fontId="1" numFmtId="164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6" fillId="0" fontId="1" numFmtId="0" xfId="0" applyAlignment="1" applyBorder="1" applyFont="1">
      <alignment horizontal="center" vertical="bottom"/>
    </xf>
    <xf borderId="4" fillId="0" fontId="1" numFmtId="1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/>
    </xf>
    <xf borderId="4" fillId="17" fontId="7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4" fillId="1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5.0"/>
    <col customWidth="1" min="3" max="3" width="9.5"/>
    <col customWidth="1" min="4" max="4" width="4.25"/>
    <col customWidth="1" min="5" max="5" width="14.88"/>
    <col customWidth="1" min="6" max="6" width="9.0"/>
    <col customWidth="1" min="7" max="7" width="4.75"/>
    <col customWidth="1" min="8" max="9" width="15.75"/>
    <col customWidth="1" min="10" max="10" width="8.75"/>
    <col customWidth="1" min="11" max="11" width="4.13"/>
    <col customWidth="1" min="12" max="12" width="16.0"/>
    <col customWidth="1" min="13" max="13" width="8.75"/>
    <col customWidth="1" min="14" max="14" width="4.38"/>
    <col customWidth="1" min="15" max="15" width="18.88"/>
    <col customWidth="1" min="16" max="16" width="6.63"/>
    <col customWidth="1" min="18" max="18" width="6.0"/>
    <col customWidth="1" min="19" max="19" width="22.0"/>
    <col customWidth="1" min="20" max="20" width="10.13"/>
  </cols>
  <sheetData>
    <row r="1">
      <c r="A1" s="1" t="s">
        <v>0</v>
      </c>
      <c r="B1" s="2"/>
      <c r="C1" s="3"/>
      <c r="D1" s="4" t="s">
        <v>1</v>
      </c>
      <c r="E1" s="2"/>
      <c r="F1" s="3"/>
      <c r="G1" s="5" t="s">
        <v>2</v>
      </c>
      <c r="H1" s="2"/>
      <c r="I1" s="2"/>
      <c r="J1" s="3"/>
      <c r="K1" s="6" t="s">
        <v>3</v>
      </c>
      <c r="L1" s="2"/>
      <c r="M1" s="3"/>
      <c r="N1" s="7" t="s">
        <v>4</v>
      </c>
      <c r="O1" s="2"/>
      <c r="P1" s="3"/>
      <c r="Q1" s="8"/>
      <c r="R1" s="9" t="s">
        <v>5</v>
      </c>
      <c r="S1" s="9" t="s">
        <v>6</v>
      </c>
      <c r="T1" s="9" t="s">
        <v>7</v>
      </c>
      <c r="U1" s="8"/>
      <c r="V1" s="8"/>
      <c r="W1" s="8"/>
      <c r="X1" s="8"/>
      <c r="Y1" s="8"/>
      <c r="Z1" s="8"/>
      <c r="AA1" s="8"/>
    </row>
    <row r="2">
      <c r="A2" s="10" t="s">
        <v>8</v>
      </c>
      <c r="B2" s="10" t="s">
        <v>9</v>
      </c>
      <c r="C2" s="10" t="s">
        <v>10</v>
      </c>
      <c r="D2" s="11" t="s">
        <v>8</v>
      </c>
      <c r="E2" s="11" t="s">
        <v>9</v>
      </c>
      <c r="F2" s="11" t="s">
        <v>10</v>
      </c>
      <c r="G2" s="12" t="s">
        <v>8</v>
      </c>
      <c r="H2" s="12" t="s">
        <v>9</v>
      </c>
      <c r="I2" s="12"/>
      <c r="J2" s="12" t="s">
        <v>10</v>
      </c>
      <c r="K2" s="13" t="s">
        <v>8</v>
      </c>
      <c r="L2" s="13" t="s">
        <v>9</v>
      </c>
      <c r="M2" s="13" t="s">
        <v>10</v>
      </c>
      <c r="N2" s="14" t="s">
        <v>8</v>
      </c>
      <c r="O2" s="14" t="s">
        <v>9</v>
      </c>
      <c r="P2" s="14" t="s">
        <v>10</v>
      </c>
      <c r="Q2" s="8"/>
      <c r="R2" s="15">
        <v>1.0</v>
      </c>
      <c r="S2" s="16" t="s">
        <v>11</v>
      </c>
      <c r="T2" s="17"/>
      <c r="U2" s="8"/>
      <c r="V2" s="8"/>
      <c r="W2" s="8"/>
      <c r="X2" s="8"/>
      <c r="Y2" s="8"/>
      <c r="Z2" s="8"/>
      <c r="AA2" s="8"/>
    </row>
    <row r="3">
      <c r="A3" s="18">
        <v>1.0</v>
      </c>
      <c r="B3" s="18" t="s">
        <v>12</v>
      </c>
      <c r="C3" s="19">
        <v>25.0</v>
      </c>
      <c r="D3" s="18">
        <v>1.0</v>
      </c>
      <c r="E3" s="18" t="s">
        <v>13</v>
      </c>
      <c r="F3" s="19">
        <v>25.0</v>
      </c>
      <c r="G3" s="18">
        <v>1.0</v>
      </c>
      <c r="H3" s="20" t="s">
        <v>14</v>
      </c>
      <c r="I3" s="20"/>
      <c r="J3" s="19">
        <v>25.0</v>
      </c>
      <c r="K3" s="18">
        <v>1.0</v>
      </c>
      <c r="L3" s="20" t="s">
        <v>15</v>
      </c>
      <c r="M3" s="19">
        <v>25.0</v>
      </c>
      <c r="N3" s="18">
        <v>1.0</v>
      </c>
      <c r="O3" s="20" t="s">
        <v>16</v>
      </c>
      <c r="P3" s="19">
        <v>25.0</v>
      </c>
      <c r="Q3" s="8"/>
      <c r="R3" s="15">
        <v>2.0</v>
      </c>
      <c r="S3" s="16" t="s">
        <v>17</v>
      </c>
      <c r="T3" s="17"/>
      <c r="U3" s="8"/>
      <c r="V3" s="8"/>
      <c r="W3" s="8"/>
      <c r="X3" s="8"/>
      <c r="Y3" s="8"/>
      <c r="Z3" s="8"/>
      <c r="AA3" s="8"/>
    </row>
    <row r="4">
      <c r="A4" s="18">
        <v>2.0</v>
      </c>
      <c r="B4" s="21" t="s">
        <v>18</v>
      </c>
      <c r="C4" s="17">
        <v>25.0</v>
      </c>
      <c r="D4" s="22">
        <v>2.0</v>
      </c>
      <c r="E4" s="21" t="s">
        <v>18</v>
      </c>
      <c r="F4" s="17">
        <v>25.0</v>
      </c>
      <c r="G4" s="22">
        <v>2.0</v>
      </c>
      <c r="H4" s="21" t="s">
        <v>18</v>
      </c>
      <c r="I4" s="21"/>
      <c r="J4" s="19">
        <v>25.0</v>
      </c>
      <c r="K4" s="22">
        <v>2.0</v>
      </c>
      <c r="L4" s="21" t="s">
        <v>18</v>
      </c>
      <c r="M4" s="19">
        <v>25.0</v>
      </c>
      <c r="N4" s="22">
        <v>2.0</v>
      </c>
      <c r="O4" s="21" t="s">
        <v>18</v>
      </c>
      <c r="P4" s="19">
        <v>25.0</v>
      </c>
      <c r="Q4" s="8"/>
      <c r="R4" s="15">
        <v>3.0</v>
      </c>
      <c r="S4" s="23" t="s">
        <v>19</v>
      </c>
      <c r="T4" s="17"/>
      <c r="U4" s="8"/>
      <c r="V4" s="8"/>
      <c r="W4" s="8"/>
      <c r="X4" s="8"/>
      <c r="Y4" s="8"/>
      <c r="Z4" s="8"/>
      <c r="AA4" s="8"/>
    </row>
    <row r="5">
      <c r="A5" s="18">
        <v>3.0</v>
      </c>
      <c r="B5" s="21"/>
      <c r="C5" s="17"/>
      <c r="D5" s="22">
        <v>3.0</v>
      </c>
      <c r="E5" s="21"/>
      <c r="F5" s="17"/>
      <c r="G5" s="22">
        <v>3.0</v>
      </c>
      <c r="H5" s="21"/>
      <c r="I5" s="21"/>
      <c r="J5" s="19"/>
      <c r="K5" s="22">
        <v>3.0</v>
      </c>
      <c r="L5" s="21"/>
      <c r="M5" s="19"/>
      <c r="N5" s="22">
        <v>3.0</v>
      </c>
      <c r="O5" s="21"/>
      <c r="P5" s="19"/>
      <c r="Q5" s="8"/>
      <c r="R5" s="15">
        <v>4.0</v>
      </c>
      <c r="S5" s="23" t="s">
        <v>20</v>
      </c>
      <c r="T5" s="17"/>
      <c r="U5" s="8"/>
      <c r="V5" s="8"/>
      <c r="W5" s="8"/>
      <c r="X5" s="8"/>
      <c r="Y5" s="8"/>
      <c r="Z5" s="8"/>
      <c r="AA5" s="8"/>
    </row>
    <row r="6">
      <c r="A6" s="18">
        <v>4.0</v>
      </c>
      <c r="B6" s="20"/>
      <c r="C6" s="19"/>
      <c r="D6" s="18">
        <v>4.0</v>
      </c>
      <c r="E6" s="20"/>
      <c r="F6" s="19"/>
      <c r="G6" s="18">
        <v>4.0</v>
      </c>
      <c r="H6" s="20"/>
      <c r="I6" s="20"/>
      <c r="J6" s="19"/>
      <c r="K6" s="18">
        <v>4.0</v>
      </c>
      <c r="L6" s="20"/>
      <c r="M6" s="19"/>
      <c r="N6" s="18">
        <v>4.0</v>
      </c>
      <c r="O6" s="20"/>
      <c r="P6" s="19"/>
      <c r="Q6" s="8"/>
      <c r="R6" s="15">
        <v>5.0</v>
      </c>
      <c r="S6" s="23" t="s">
        <v>21</v>
      </c>
      <c r="T6" s="17"/>
      <c r="U6" s="8"/>
      <c r="V6" s="8"/>
      <c r="W6" s="8"/>
      <c r="X6" s="8"/>
      <c r="Y6" s="8"/>
      <c r="Z6" s="8"/>
      <c r="AA6" s="8"/>
    </row>
    <row r="7">
      <c r="A7" s="18">
        <v>5.0</v>
      </c>
      <c r="B7" s="20"/>
      <c r="C7" s="19"/>
      <c r="D7" s="18">
        <v>5.0</v>
      </c>
      <c r="E7" s="20"/>
      <c r="F7" s="19"/>
      <c r="G7" s="18">
        <v>5.0</v>
      </c>
      <c r="H7" s="20"/>
      <c r="I7" s="20"/>
      <c r="J7" s="19"/>
      <c r="K7" s="18">
        <v>5.0</v>
      </c>
      <c r="L7" s="20"/>
      <c r="M7" s="19"/>
      <c r="N7" s="18">
        <v>5.0</v>
      </c>
      <c r="O7" s="20"/>
      <c r="P7" s="19"/>
      <c r="Q7" s="8"/>
      <c r="R7" s="15">
        <v>6.0</v>
      </c>
      <c r="S7" s="16" t="s">
        <v>22</v>
      </c>
      <c r="T7" s="17"/>
      <c r="U7" s="8"/>
      <c r="V7" s="8"/>
      <c r="W7" s="8"/>
      <c r="X7" s="8"/>
      <c r="Y7" s="8"/>
      <c r="Z7" s="8"/>
      <c r="AA7" s="8"/>
    </row>
    <row r="8">
      <c r="A8" s="18">
        <v>6.0</v>
      </c>
      <c r="B8" s="20"/>
      <c r="C8" s="19"/>
      <c r="D8" s="18">
        <v>6.0</v>
      </c>
      <c r="E8" s="20"/>
      <c r="F8" s="19"/>
      <c r="G8" s="18">
        <v>6.0</v>
      </c>
      <c r="H8" s="20"/>
      <c r="I8" s="20"/>
      <c r="J8" s="19"/>
      <c r="K8" s="18">
        <v>6.0</v>
      </c>
      <c r="L8" s="20"/>
      <c r="M8" s="19"/>
      <c r="N8" s="18">
        <v>6.0</v>
      </c>
      <c r="O8" s="20"/>
      <c r="P8" s="19"/>
      <c r="Q8" s="8"/>
      <c r="R8" s="15">
        <v>7.0</v>
      </c>
      <c r="S8" s="16" t="s">
        <v>23</v>
      </c>
      <c r="T8" s="17"/>
      <c r="U8" s="8"/>
      <c r="V8" s="8"/>
      <c r="W8" s="8"/>
      <c r="X8" s="8"/>
      <c r="Y8" s="8"/>
      <c r="Z8" s="8"/>
      <c r="AA8" s="8"/>
    </row>
    <row r="9">
      <c r="A9" s="18">
        <v>7.0</v>
      </c>
      <c r="B9" s="20"/>
      <c r="C9" s="19"/>
      <c r="D9" s="18">
        <v>7.0</v>
      </c>
      <c r="E9" s="20"/>
      <c r="F9" s="19"/>
      <c r="G9" s="18">
        <v>7.0</v>
      </c>
      <c r="H9" s="20"/>
      <c r="I9" s="20"/>
      <c r="J9" s="19"/>
      <c r="K9" s="18">
        <v>7.0</v>
      </c>
      <c r="L9" s="20"/>
      <c r="M9" s="19"/>
      <c r="N9" s="18">
        <v>7.0</v>
      </c>
      <c r="O9" s="20"/>
      <c r="P9" s="19"/>
      <c r="Q9" s="8"/>
      <c r="R9" s="15">
        <v>8.0</v>
      </c>
      <c r="S9" s="16" t="s">
        <v>24</v>
      </c>
      <c r="T9" s="17"/>
      <c r="U9" s="8"/>
      <c r="V9" s="8"/>
      <c r="W9" s="8"/>
      <c r="X9" s="8"/>
      <c r="Y9" s="8"/>
      <c r="Z9" s="8"/>
      <c r="AA9" s="8"/>
    </row>
    <row r="10">
      <c r="A10" s="18">
        <v>8.0</v>
      </c>
      <c r="B10" s="20"/>
      <c r="C10" s="19"/>
      <c r="D10" s="18">
        <v>8.0</v>
      </c>
      <c r="E10" s="20"/>
      <c r="F10" s="19"/>
      <c r="G10" s="18">
        <v>8.0</v>
      </c>
      <c r="H10" s="20"/>
      <c r="I10" s="20"/>
      <c r="J10" s="19"/>
      <c r="K10" s="18">
        <v>8.0</v>
      </c>
      <c r="L10" s="20"/>
      <c r="M10" s="19"/>
      <c r="N10" s="18">
        <v>8.0</v>
      </c>
      <c r="O10" s="20"/>
      <c r="P10" s="19"/>
      <c r="Q10" s="8"/>
      <c r="R10" s="15">
        <v>9.0</v>
      </c>
      <c r="S10" s="23" t="s">
        <v>25</v>
      </c>
      <c r="T10" s="17"/>
      <c r="U10" s="8"/>
      <c r="V10" s="8"/>
      <c r="W10" s="8"/>
      <c r="X10" s="8"/>
      <c r="Y10" s="8"/>
      <c r="Z10" s="8"/>
      <c r="AA10" s="8"/>
    </row>
    <row r="11">
      <c r="A11" s="18">
        <v>9.0</v>
      </c>
      <c r="B11" s="20"/>
      <c r="C11" s="19"/>
      <c r="D11" s="18">
        <v>9.0</v>
      </c>
      <c r="E11" s="18"/>
      <c r="F11" s="19"/>
      <c r="G11" s="18">
        <v>9.0</v>
      </c>
      <c r="H11" s="20"/>
      <c r="I11" s="20"/>
      <c r="J11" s="19"/>
      <c r="K11" s="18">
        <v>9.0</v>
      </c>
      <c r="L11" s="20"/>
      <c r="M11" s="19"/>
      <c r="N11" s="18">
        <v>9.0</v>
      </c>
      <c r="O11" s="20"/>
      <c r="P11" s="19"/>
      <c r="Q11" s="8"/>
      <c r="R11" s="15">
        <v>10.0</v>
      </c>
      <c r="S11" s="23" t="s">
        <v>26</v>
      </c>
      <c r="T11" s="17"/>
      <c r="U11" s="8"/>
      <c r="V11" s="8"/>
      <c r="W11" s="8"/>
      <c r="X11" s="8"/>
      <c r="Y11" s="8"/>
      <c r="Z11" s="8"/>
      <c r="AA11" s="8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8"/>
      <c r="R12" s="15">
        <v>11.0</v>
      </c>
      <c r="S12" s="23" t="s">
        <v>27</v>
      </c>
      <c r="T12" s="19">
        <v>25.0</v>
      </c>
      <c r="U12" s="8"/>
      <c r="V12" s="8"/>
      <c r="W12" s="8"/>
      <c r="X12" s="8"/>
      <c r="Y12" s="8"/>
      <c r="Z12" s="8"/>
      <c r="AA12" s="8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8"/>
      <c r="R13" s="15">
        <v>12.0</v>
      </c>
      <c r="S13" s="16" t="s">
        <v>28</v>
      </c>
      <c r="T13" s="19">
        <v>25.0</v>
      </c>
      <c r="U13" s="8"/>
      <c r="V13" s="8"/>
      <c r="W13" s="8"/>
      <c r="X13" s="8"/>
      <c r="Y13" s="8"/>
      <c r="Z13" s="8"/>
      <c r="AA13" s="8"/>
    </row>
    <row r="14">
      <c r="A14" s="25" t="s">
        <v>29</v>
      </c>
      <c r="B14" s="3"/>
      <c r="C14" s="26">
        <f>SUM(C3:C13)</f>
        <v>50</v>
      </c>
      <c r="D14" s="25" t="s">
        <v>29</v>
      </c>
      <c r="E14" s="3"/>
      <c r="F14" s="26">
        <f>SUM(F3:F13)</f>
        <v>50</v>
      </c>
      <c r="G14" s="25" t="s">
        <v>29</v>
      </c>
      <c r="H14" s="3"/>
      <c r="I14" s="27"/>
      <c r="J14" s="26">
        <f>SUM(J3:J13)</f>
        <v>50</v>
      </c>
      <c r="K14" s="25" t="s">
        <v>29</v>
      </c>
      <c r="L14" s="3"/>
      <c r="M14" s="26">
        <f>SUM(M3:M13)</f>
        <v>50</v>
      </c>
      <c r="N14" s="25" t="s">
        <v>29</v>
      </c>
      <c r="O14" s="3"/>
      <c r="P14" s="26">
        <f>SUM(P3:P13)</f>
        <v>50</v>
      </c>
      <c r="Q14" s="8"/>
      <c r="R14" s="15">
        <v>13.0</v>
      </c>
      <c r="S14" s="23" t="s">
        <v>30</v>
      </c>
      <c r="T14" s="19">
        <v>25.0</v>
      </c>
      <c r="U14" s="8"/>
      <c r="V14" s="8"/>
      <c r="W14" s="8"/>
      <c r="X14" s="8"/>
      <c r="Y14" s="8"/>
      <c r="Z14" s="8"/>
      <c r="AA14" s="8"/>
    </row>
    <row r="15">
      <c r="A15" s="25" t="s">
        <v>31</v>
      </c>
      <c r="B15" s="3"/>
      <c r="C15" s="27">
        <f>9-COUNT(C3:C13)</f>
        <v>7</v>
      </c>
      <c r="D15" s="25" t="s">
        <v>31</v>
      </c>
      <c r="E15" s="3"/>
      <c r="F15" s="27">
        <f>9-COUNT(F3:F13)</f>
        <v>7</v>
      </c>
      <c r="G15" s="25" t="s">
        <v>31</v>
      </c>
      <c r="H15" s="3"/>
      <c r="I15" s="27"/>
      <c r="J15" s="27">
        <f>9-COUNT(J3:J13)</f>
        <v>7</v>
      </c>
      <c r="K15" s="25" t="s">
        <v>31</v>
      </c>
      <c r="L15" s="3"/>
      <c r="M15" s="27">
        <f>9-COUNT(M3:M13)</f>
        <v>7</v>
      </c>
      <c r="N15" s="25" t="s">
        <v>31</v>
      </c>
      <c r="O15" s="3"/>
      <c r="P15" s="27">
        <f>9-COUNT(P3:P13)</f>
        <v>7</v>
      </c>
      <c r="Q15" s="8"/>
      <c r="R15" s="15">
        <v>14.0</v>
      </c>
      <c r="S15" s="23" t="s">
        <v>32</v>
      </c>
      <c r="T15" s="19">
        <v>25.0</v>
      </c>
      <c r="U15" s="8"/>
      <c r="V15" s="8"/>
      <c r="W15" s="8"/>
      <c r="X15" s="8"/>
      <c r="Y15" s="8"/>
      <c r="Z15" s="8"/>
      <c r="AA15" s="8"/>
    </row>
    <row r="16">
      <c r="A16" s="25" t="s">
        <v>33</v>
      </c>
      <c r="B16" s="3"/>
      <c r="C16" s="26">
        <f> 1000-C14</f>
        <v>950</v>
      </c>
      <c r="D16" s="25" t="s">
        <v>33</v>
      </c>
      <c r="E16" s="3"/>
      <c r="F16" s="26">
        <f> 1000-F14</f>
        <v>950</v>
      </c>
      <c r="G16" s="25" t="s">
        <v>33</v>
      </c>
      <c r="H16" s="3"/>
      <c r="I16" s="27"/>
      <c r="J16" s="26">
        <f> 1000-J14</f>
        <v>950</v>
      </c>
      <c r="K16" s="25" t="s">
        <v>33</v>
      </c>
      <c r="L16" s="3"/>
      <c r="M16" s="26">
        <f> 1000-M14</f>
        <v>950</v>
      </c>
      <c r="N16" s="25" t="s">
        <v>33</v>
      </c>
      <c r="O16" s="3"/>
      <c r="P16" s="26">
        <f> 1000-P14</f>
        <v>950</v>
      </c>
      <c r="Q16" s="8"/>
      <c r="R16" s="15">
        <v>15.0</v>
      </c>
      <c r="S16" s="16" t="s">
        <v>34</v>
      </c>
      <c r="T16" s="19">
        <v>25.0</v>
      </c>
      <c r="U16" s="8"/>
      <c r="V16" s="8"/>
      <c r="W16" s="8"/>
      <c r="X16" s="8"/>
      <c r="Y16" s="8"/>
      <c r="Z16" s="8"/>
      <c r="AA16" s="8"/>
    </row>
    <row r="17">
      <c r="A17" s="25" t="s">
        <v>35</v>
      </c>
      <c r="B17" s="3"/>
      <c r="C17" s="26">
        <f>C16-((C15-1)*$T$84)</f>
        <v>671.4285714</v>
      </c>
      <c r="D17" s="25" t="s">
        <v>35</v>
      </c>
      <c r="E17" s="3"/>
      <c r="F17" s="26">
        <f>F16-((F15-1)*$T$84)</f>
        <v>671.4285714</v>
      </c>
      <c r="G17" s="25" t="s">
        <v>35</v>
      </c>
      <c r="H17" s="3"/>
      <c r="I17" s="27"/>
      <c r="J17" s="26">
        <f>J16-((J15-1)*$T$84)</f>
        <v>671.4285714</v>
      </c>
      <c r="K17" s="25" t="s">
        <v>35</v>
      </c>
      <c r="L17" s="3"/>
      <c r="M17" s="26">
        <f>M16-((M15-1)*$T$84)</f>
        <v>671.4285714</v>
      </c>
      <c r="N17" s="25" t="s">
        <v>35</v>
      </c>
      <c r="O17" s="3"/>
      <c r="P17" s="26">
        <f>P16-((P15-1)*$T$84)</f>
        <v>671.4285714</v>
      </c>
      <c r="Q17" s="8"/>
      <c r="R17" s="15">
        <v>16.0</v>
      </c>
      <c r="S17" s="23" t="s">
        <v>36</v>
      </c>
      <c r="T17" s="19">
        <v>25.0</v>
      </c>
      <c r="U17" s="8"/>
      <c r="V17" s="8"/>
      <c r="W17" s="8"/>
      <c r="X17" s="8"/>
      <c r="Y17" s="8"/>
      <c r="Z17" s="8"/>
      <c r="AA17" s="8"/>
    </row>
    <row r="18">
      <c r="A18" s="2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  <c r="Q18" s="8"/>
      <c r="R18" s="15">
        <v>17.0</v>
      </c>
      <c r="S18" s="16" t="s">
        <v>37</v>
      </c>
      <c r="T18" s="19">
        <v>25.0</v>
      </c>
      <c r="U18" s="8"/>
      <c r="V18" s="8"/>
      <c r="W18" s="8"/>
      <c r="X18" s="8"/>
      <c r="Y18" s="8"/>
      <c r="Z18" s="8"/>
      <c r="AA18" s="8"/>
    </row>
    <row r="19">
      <c r="A19" s="29" t="s">
        <v>38</v>
      </c>
      <c r="B19" s="2"/>
      <c r="C19" s="3"/>
      <c r="D19" s="30" t="s">
        <v>39</v>
      </c>
      <c r="E19" s="2"/>
      <c r="F19" s="3"/>
      <c r="G19" s="31" t="s">
        <v>40</v>
      </c>
      <c r="H19" s="2"/>
      <c r="I19" s="2"/>
      <c r="J19" s="3"/>
      <c r="K19" s="32" t="s">
        <v>41</v>
      </c>
      <c r="L19" s="2"/>
      <c r="M19" s="3"/>
      <c r="N19" s="33" t="s">
        <v>42</v>
      </c>
      <c r="O19" s="2"/>
      <c r="P19" s="3"/>
      <c r="Q19" s="8"/>
      <c r="R19" s="15">
        <v>18.0</v>
      </c>
      <c r="S19" s="16" t="s">
        <v>43</v>
      </c>
      <c r="T19" s="19">
        <v>25.0</v>
      </c>
      <c r="U19" s="8"/>
      <c r="V19" s="8"/>
      <c r="W19" s="8"/>
      <c r="X19" s="8"/>
      <c r="Y19" s="8"/>
      <c r="Z19" s="8"/>
      <c r="AA19" s="8"/>
    </row>
    <row r="20">
      <c r="A20" s="34" t="s">
        <v>8</v>
      </c>
      <c r="B20" s="34" t="s">
        <v>9</v>
      </c>
      <c r="C20" s="34" t="s">
        <v>10</v>
      </c>
      <c r="D20" s="35" t="s">
        <v>8</v>
      </c>
      <c r="E20" s="35" t="s">
        <v>9</v>
      </c>
      <c r="F20" s="35" t="s">
        <v>10</v>
      </c>
      <c r="G20" s="36" t="s">
        <v>8</v>
      </c>
      <c r="H20" s="36" t="s">
        <v>9</v>
      </c>
      <c r="I20" s="36"/>
      <c r="J20" s="36" t="s">
        <v>10</v>
      </c>
      <c r="K20" s="37" t="s">
        <v>8</v>
      </c>
      <c r="L20" s="37" t="s">
        <v>9</v>
      </c>
      <c r="M20" s="37" t="s">
        <v>10</v>
      </c>
      <c r="N20" s="38" t="s">
        <v>8</v>
      </c>
      <c r="O20" s="38" t="s">
        <v>9</v>
      </c>
      <c r="P20" s="38" t="s">
        <v>10</v>
      </c>
      <c r="Q20" s="8"/>
      <c r="R20" s="15">
        <v>19.0</v>
      </c>
      <c r="S20" s="16" t="s">
        <v>44</v>
      </c>
      <c r="T20" s="19">
        <v>25.0</v>
      </c>
      <c r="U20" s="8"/>
      <c r="V20" s="8"/>
      <c r="W20" s="8"/>
      <c r="X20" s="8"/>
      <c r="Y20" s="8"/>
      <c r="Z20" s="8"/>
      <c r="AA20" s="8"/>
    </row>
    <row r="21">
      <c r="A21" s="18">
        <v>1.0</v>
      </c>
      <c r="B21" s="39" t="s">
        <v>45</v>
      </c>
      <c r="C21" s="17">
        <v>25.0</v>
      </c>
      <c r="D21" s="18">
        <v>1.0</v>
      </c>
      <c r="E21" s="22" t="s">
        <v>46</v>
      </c>
      <c r="F21" s="17">
        <v>25.0</v>
      </c>
      <c r="G21" s="18">
        <v>1.0</v>
      </c>
      <c r="H21" s="22" t="s">
        <v>47</v>
      </c>
      <c r="I21" s="22"/>
      <c r="J21" s="17">
        <v>25.0</v>
      </c>
      <c r="K21" s="18">
        <v>1.0</v>
      </c>
      <c r="L21" s="20" t="s">
        <v>48</v>
      </c>
      <c r="M21" s="19">
        <v>25.0</v>
      </c>
      <c r="N21" s="18">
        <v>1.0</v>
      </c>
      <c r="O21" s="20" t="s">
        <v>49</v>
      </c>
      <c r="P21" s="19">
        <v>25.0</v>
      </c>
      <c r="Q21" s="8"/>
      <c r="R21" s="15">
        <v>20.0</v>
      </c>
      <c r="S21" s="23" t="s">
        <v>50</v>
      </c>
      <c r="T21" s="19">
        <v>25.0</v>
      </c>
      <c r="U21" s="8"/>
      <c r="V21" s="8"/>
      <c r="W21" s="8"/>
      <c r="X21" s="8"/>
      <c r="Y21" s="8"/>
      <c r="Z21" s="8"/>
      <c r="AA21" s="8"/>
    </row>
    <row r="22">
      <c r="A22" s="22">
        <v>2.0</v>
      </c>
      <c r="B22" s="40" t="s">
        <v>28</v>
      </c>
      <c r="C22" s="17">
        <v>25.0</v>
      </c>
      <c r="D22" s="22">
        <v>2.0</v>
      </c>
      <c r="E22" s="21" t="s">
        <v>18</v>
      </c>
      <c r="F22" s="17">
        <v>25.0</v>
      </c>
      <c r="G22" s="22">
        <v>2.0</v>
      </c>
      <c r="H22" s="21" t="s">
        <v>18</v>
      </c>
      <c r="I22" s="21"/>
      <c r="J22" s="17">
        <v>25.0</v>
      </c>
      <c r="K22" s="22">
        <v>2.0</v>
      </c>
      <c r="L22" s="21" t="s">
        <v>18</v>
      </c>
      <c r="M22" s="19">
        <v>25.0</v>
      </c>
      <c r="N22" s="22">
        <v>2.0</v>
      </c>
      <c r="O22" s="21" t="s">
        <v>18</v>
      </c>
      <c r="P22" s="41">
        <v>100.0</v>
      </c>
      <c r="Q22" s="8"/>
      <c r="R22" s="15">
        <v>21.0</v>
      </c>
      <c r="S22" s="23" t="s">
        <v>51</v>
      </c>
      <c r="T22" s="19">
        <v>50.0</v>
      </c>
      <c r="U22" s="8"/>
      <c r="V22" s="8"/>
      <c r="W22" s="8"/>
      <c r="X22" s="8"/>
      <c r="Y22" s="8"/>
      <c r="Z22" s="8"/>
      <c r="AA22" s="8"/>
    </row>
    <row r="23">
      <c r="A23" s="22">
        <v>3.0</v>
      </c>
      <c r="B23" s="40" t="s">
        <v>52</v>
      </c>
      <c r="C23" s="42">
        <v>380.0</v>
      </c>
      <c r="D23" s="22">
        <v>3.0</v>
      </c>
      <c r="E23" s="21"/>
      <c r="F23" s="17"/>
      <c r="G23" s="22">
        <v>3.0</v>
      </c>
      <c r="H23" s="21"/>
      <c r="I23" s="21"/>
      <c r="J23" s="17"/>
      <c r="K23" s="22">
        <v>3.0</v>
      </c>
      <c r="L23" s="21"/>
      <c r="M23" s="19"/>
      <c r="N23" s="22">
        <v>3.0</v>
      </c>
      <c r="O23" s="21"/>
      <c r="P23" s="19"/>
      <c r="Q23" s="8"/>
      <c r="R23" s="15">
        <v>22.0</v>
      </c>
      <c r="S23" s="16" t="s">
        <v>53</v>
      </c>
      <c r="T23" s="19">
        <v>50.0</v>
      </c>
      <c r="U23" s="8"/>
      <c r="V23" s="8"/>
      <c r="W23" s="8"/>
      <c r="X23" s="8"/>
      <c r="Y23" s="8"/>
      <c r="Z23" s="8"/>
      <c r="AA23" s="8"/>
    </row>
    <row r="24">
      <c r="A24" s="18">
        <v>4.0</v>
      </c>
      <c r="B24" s="40" t="s">
        <v>54</v>
      </c>
      <c r="C24" s="42">
        <v>100.0</v>
      </c>
      <c r="D24" s="18">
        <v>4.0</v>
      </c>
      <c r="E24" s="21"/>
      <c r="F24" s="17"/>
      <c r="G24" s="18">
        <v>4.0</v>
      </c>
      <c r="H24" s="21"/>
      <c r="I24" s="21"/>
      <c r="J24" s="17"/>
      <c r="K24" s="18">
        <v>4.0</v>
      </c>
      <c r="L24" s="20"/>
      <c r="M24" s="19"/>
      <c r="N24" s="18">
        <v>4.0</v>
      </c>
      <c r="O24" s="20"/>
      <c r="P24" s="19"/>
      <c r="Q24" s="8"/>
      <c r="R24" s="15">
        <v>23.0</v>
      </c>
      <c r="S24" s="23" t="s">
        <v>55</v>
      </c>
      <c r="T24" s="19">
        <v>50.0</v>
      </c>
      <c r="U24" s="8"/>
      <c r="V24" s="8"/>
      <c r="W24" s="8"/>
      <c r="X24" s="8"/>
      <c r="Y24" s="8"/>
      <c r="Z24" s="8"/>
      <c r="AA24" s="8"/>
    </row>
    <row r="25">
      <c r="A25" s="18">
        <v>5.0</v>
      </c>
      <c r="B25" s="40" t="s">
        <v>56</v>
      </c>
      <c r="C25" s="42">
        <v>230.0</v>
      </c>
      <c r="D25" s="18">
        <v>5.0</v>
      </c>
      <c r="E25" s="21"/>
      <c r="F25" s="17"/>
      <c r="G25" s="18">
        <v>5.0</v>
      </c>
      <c r="H25" s="21"/>
      <c r="I25" s="21"/>
      <c r="J25" s="17"/>
      <c r="K25" s="18">
        <v>5.0</v>
      </c>
      <c r="L25" s="20"/>
      <c r="M25" s="19"/>
      <c r="N25" s="18">
        <v>5.0</v>
      </c>
      <c r="O25" s="20"/>
      <c r="P25" s="19"/>
      <c r="Q25" s="8"/>
      <c r="R25" s="15">
        <v>24.0</v>
      </c>
      <c r="S25" s="16" t="s">
        <v>57</v>
      </c>
      <c r="T25" s="19">
        <v>50.0</v>
      </c>
      <c r="U25" s="8"/>
      <c r="V25" s="8"/>
      <c r="W25" s="8"/>
      <c r="X25" s="8"/>
      <c r="Y25" s="8"/>
      <c r="Z25" s="8"/>
      <c r="AA25" s="8"/>
    </row>
    <row r="26">
      <c r="A26" s="18">
        <v>6.0</v>
      </c>
      <c r="B26" s="21"/>
      <c r="C26" s="17"/>
      <c r="D26" s="18">
        <v>6.0</v>
      </c>
      <c r="E26" s="21"/>
      <c r="F26" s="17"/>
      <c r="G26" s="18">
        <v>6.0</v>
      </c>
      <c r="H26" s="21"/>
      <c r="I26" s="21"/>
      <c r="J26" s="17"/>
      <c r="K26" s="18">
        <v>6.0</v>
      </c>
      <c r="L26" s="20"/>
      <c r="M26" s="19"/>
      <c r="N26" s="18">
        <v>6.0</v>
      </c>
      <c r="O26" s="20"/>
      <c r="P26" s="19"/>
      <c r="Q26" s="8"/>
      <c r="R26" s="15">
        <v>25.0</v>
      </c>
      <c r="S26" s="23" t="s">
        <v>58</v>
      </c>
      <c r="T26" s="19">
        <v>50.0</v>
      </c>
      <c r="U26" s="8"/>
      <c r="V26" s="8"/>
      <c r="W26" s="8"/>
      <c r="X26" s="8"/>
      <c r="Y26" s="8"/>
      <c r="Z26" s="8"/>
      <c r="AA26" s="8"/>
    </row>
    <row r="27">
      <c r="A27" s="18">
        <v>7.0</v>
      </c>
      <c r="B27" s="21"/>
      <c r="C27" s="17"/>
      <c r="D27" s="18">
        <v>7.0</v>
      </c>
      <c r="E27" s="21"/>
      <c r="F27" s="17"/>
      <c r="G27" s="18">
        <v>7.0</v>
      </c>
      <c r="H27" s="21"/>
      <c r="I27" s="21"/>
      <c r="J27" s="17"/>
      <c r="K27" s="18">
        <v>7.0</v>
      </c>
      <c r="L27" s="20"/>
      <c r="M27" s="19"/>
      <c r="N27" s="18">
        <v>7.0</v>
      </c>
      <c r="O27" s="20"/>
      <c r="P27" s="19"/>
      <c r="Q27" s="8"/>
      <c r="R27" s="15">
        <v>26.0</v>
      </c>
      <c r="S27" s="16" t="s">
        <v>59</v>
      </c>
      <c r="T27" s="19">
        <v>50.0</v>
      </c>
      <c r="U27" s="8"/>
      <c r="V27" s="8"/>
      <c r="W27" s="8"/>
      <c r="X27" s="8"/>
      <c r="Y27" s="8"/>
      <c r="Z27" s="8"/>
      <c r="AA27" s="8"/>
    </row>
    <row r="28">
      <c r="A28" s="18">
        <v>8.0</v>
      </c>
      <c r="B28" s="21"/>
      <c r="C28" s="17"/>
      <c r="D28" s="18">
        <v>8.0</v>
      </c>
      <c r="E28" s="21"/>
      <c r="F28" s="17"/>
      <c r="G28" s="18">
        <v>8.0</v>
      </c>
      <c r="H28" s="21"/>
      <c r="I28" s="21"/>
      <c r="J28" s="17"/>
      <c r="K28" s="18">
        <v>8.0</v>
      </c>
      <c r="L28" s="20"/>
      <c r="M28" s="19"/>
      <c r="N28" s="18">
        <v>8.0</v>
      </c>
      <c r="O28" s="20"/>
      <c r="P28" s="19"/>
      <c r="Q28" s="8"/>
      <c r="R28" s="15">
        <v>27.0</v>
      </c>
      <c r="S28" s="16" t="s">
        <v>60</v>
      </c>
      <c r="T28" s="19">
        <v>50.0</v>
      </c>
      <c r="U28" s="8"/>
      <c r="V28" s="8"/>
      <c r="W28" s="8"/>
      <c r="X28" s="8"/>
      <c r="Y28" s="8"/>
      <c r="Z28" s="8"/>
      <c r="AA28" s="8"/>
    </row>
    <row r="29">
      <c r="A29" s="18">
        <v>9.0</v>
      </c>
      <c r="B29" s="21"/>
      <c r="C29" s="17"/>
      <c r="D29" s="18">
        <v>9.0</v>
      </c>
      <c r="E29" s="21"/>
      <c r="F29" s="17"/>
      <c r="G29" s="18">
        <v>9.0</v>
      </c>
      <c r="H29" s="21"/>
      <c r="I29" s="21"/>
      <c r="J29" s="17"/>
      <c r="K29" s="18">
        <v>9.0</v>
      </c>
      <c r="L29" s="20"/>
      <c r="M29" s="19"/>
      <c r="N29" s="18">
        <v>9.0</v>
      </c>
      <c r="O29" s="20"/>
      <c r="P29" s="19"/>
      <c r="Q29" s="8"/>
      <c r="R29" s="15">
        <v>28.0</v>
      </c>
      <c r="S29" s="16" t="s">
        <v>61</v>
      </c>
      <c r="T29" s="19">
        <v>50.0</v>
      </c>
      <c r="U29" s="8"/>
      <c r="V29" s="8"/>
      <c r="W29" s="8"/>
      <c r="X29" s="8"/>
      <c r="Y29" s="8"/>
      <c r="Z29" s="8"/>
      <c r="AA29" s="8"/>
    </row>
    <row r="30">
      <c r="A30" s="22"/>
      <c r="B30" s="21"/>
      <c r="C30" s="22"/>
      <c r="D30" s="22"/>
      <c r="E30" s="21"/>
      <c r="F30" s="22"/>
      <c r="G30" s="22"/>
      <c r="H30" s="21"/>
      <c r="I30" s="21"/>
      <c r="J30" s="22"/>
      <c r="K30" s="24"/>
      <c r="L30" s="24"/>
      <c r="M30" s="24"/>
      <c r="N30" s="24"/>
      <c r="O30" s="24"/>
      <c r="P30" s="24"/>
      <c r="Q30" s="8"/>
      <c r="R30" s="15">
        <v>29.0</v>
      </c>
      <c r="S30" s="16" t="s">
        <v>62</v>
      </c>
      <c r="T30" s="19">
        <v>50.0</v>
      </c>
      <c r="U30" s="8"/>
      <c r="V30" s="8"/>
      <c r="W30" s="8"/>
      <c r="X30" s="8"/>
      <c r="Y30" s="8"/>
      <c r="Z30" s="8"/>
      <c r="AA30" s="8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8"/>
      <c r="R31" s="15">
        <v>30.0</v>
      </c>
      <c r="S31" s="23" t="s">
        <v>63</v>
      </c>
      <c r="T31" s="19">
        <v>50.0</v>
      </c>
      <c r="U31" s="8"/>
      <c r="V31" s="8"/>
      <c r="W31" s="8"/>
      <c r="X31" s="8"/>
      <c r="Y31" s="8"/>
      <c r="Z31" s="8"/>
      <c r="AA31" s="8"/>
    </row>
    <row r="32">
      <c r="A32" s="25" t="s">
        <v>29</v>
      </c>
      <c r="B32" s="3"/>
      <c r="C32" s="26">
        <f>SUM(C21:C31)</f>
        <v>760</v>
      </c>
      <c r="D32" s="25" t="s">
        <v>29</v>
      </c>
      <c r="E32" s="3"/>
      <c r="F32" s="26">
        <f>SUM(F21:F31)</f>
        <v>50</v>
      </c>
      <c r="G32" s="25" t="s">
        <v>29</v>
      </c>
      <c r="H32" s="3"/>
      <c r="I32" s="27"/>
      <c r="J32" s="26">
        <f>SUM(J21:J31)</f>
        <v>50</v>
      </c>
      <c r="K32" s="25" t="s">
        <v>29</v>
      </c>
      <c r="L32" s="3"/>
      <c r="M32" s="26">
        <f>SUM(M21:M31)</f>
        <v>50</v>
      </c>
      <c r="N32" s="25" t="s">
        <v>29</v>
      </c>
      <c r="O32" s="3"/>
      <c r="P32" s="26">
        <f>SUM(P21:P31)</f>
        <v>125</v>
      </c>
      <c r="Q32" s="8"/>
      <c r="R32" s="15">
        <v>31.0</v>
      </c>
      <c r="S32" s="16" t="s">
        <v>64</v>
      </c>
      <c r="T32" s="19">
        <v>50.0</v>
      </c>
      <c r="U32" s="8"/>
      <c r="V32" s="8"/>
      <c r="W32" s="8"/>
      <c r="X32" s="8"/>
      <c r="Y32" s="8"/>
      <c r="Z32" s="8"/>
      <c r="AA32" s="8"/>
    </row>
    <row r="33">
      <c r="A33" s="25" t="s">
        <v>31</v>
      </c>
      <c r="B33" s="3"/>
      <c r="C33" s="27">
        <f>9-COUNT(C21:C31)</f>
        <v>4</v>
      </c>
      <c r="D33" s="25" t="s">
        <v>31</v>
      </c>
      <c r="E33" s="3"/>
      <c r="F33" s="27">
        <f>9-COUNT(F21:F31)</f>
        <v>7</v>
      </c>
      <c r="G33" s="25" t="s">
        <v>31</v>
      </c>
      <c r="H33" s="3"/>
      <c r="I33" s="27"/>
      <c r="J33" s="27">
        <f>9-COUNT(J21:J31)</f>
        <v>7</v>
      </c>
      <c r="K33" s="25" t="s">
        <v>31</v>
      </c>
      <c r="L33" s="3"/>
      <c r="M33" s="27">
        <f>9-COUNT(M21:M31)</f>
        <v>7</v>
      </c>
      <c r="N33" s="25" t="s">
        <v>31</v>
      </c>
      <c r="O33" s="3"/>
      <c r="P33" s="27">
        <f>9-COUNT(P21:P31)</f>
        <v>7</v>
      </c>
      <c r="Q33" s="8"/>
      <c r="R33" s="15">
        <v>32.0</v>
      </c>
      <c r="S33" s="23" t="s">
        <v>65</v>
      </c>
      <c r="T33" s="19">
        <v>50.0</v>
      </c>
      <c r="U33" s="8"/>
      <c r="V33" s="8"/>
      <c r="W33" s="8"/>
      <c r="X33" s="8"/>
      <c r="Y33" s="8"/>
      <c r="Z33" s="8"/>
      <c r="AA33" s="8"/>
    </row>
    <row r="34">
      <c r="A34" s="25" t="s">
        <v>33</v>
      </c>
      <c r="B34" s="3"/>
      <c r="C34" s="26">
        <f> 1000-F35</f>
        <v>328.5714286</v>
      </c>
      <c r="D34" s="25" t="s">
        <v>33</v>
      </c>
      <c r="E34" s="3"/>
      <c r="F34" s="26">
        <f> 1000-F32</f>
        <v>950</v>
      </c>
      <c r="G34" s="25" t="s">
        <v>33</v>
      </c>
      <c r="H34" s="3"/>
      <c r="I34" s="27"/>
      <c r="J34" s="26">
        <f> 1000-J32</f>
        <v>950</v>
      </c>
      <c r="K34" s="25" t="s">
        <v>33</v>
      </c>
      <c r="L34" s="3"/>
      <c r="M34" s="26">
        <f> 1000-M32</f>
        <v>950</v>
      </c>
      <c r="N34" s="25" t="s">
        <v>33</v>
      </c>
      <c r="O34" s="3"/>
      <c r="P34" s="26">
        <f> 1000-P32</f>
        <v>875</v>
      </c>
      <c r="Q34" s="8"/>
      <c r="R34" s="15">
        <v>33.0</v>
      </c>
      <c r="S34" s="16" t="s">
        <v>66</v>
      </c>
      <c r="T34" s="19">
        <v>50.0</v>
      </c>
      <c r="U34" s="8"/>
      <c r="V34" s="8"/>
      <c r="W34" s="8"/>
      <c r="X34" s="8"/>
      <c r="Y34" s="8"/>
      <c r="Z34" s="8"/>
      <c r="AA34" s="8"/>
    </row>
    <row r="35">
      <c r="A35" s="25" t="s">
        <v>35</v>
      </c>
      <c r="B35" s="3"/>
      <c r="C35" s="43">
        <f>C34-((C33-1)*$T$84)</f>
        <v>189.2857143</v>
      </c>
      <c r="D35" s="25" t="s">
        <v>35</v>
      </c>
      <c r="E35" s="3"/>
      <c r="F35" s="26">
        <f>F34-((F33-1)*$T$84)</f>
        <v>671.4285714</v>
      </c>
      <c r="G35" s="25" t="s">
        <v>35</v>
      </c>
      <c r="H35" s="3"/>
      <c r="I35" s="27"/>
      <c r="J35" s="26">
        <f>J34-((J33-1)*$T$84)</f>
        <v>671.4285714</v>
      </c>
      <c r="K35" s="25" t="s">
        <v>35</v>
      </c>
      <c r="L35" s="3"/>
      <c r="M35" s="26">
        <f>M34-((M33-1)*$T$84)</f>
        <v>671.4285714</v>
      </c>
      <c r="N35" s="25" t="s">
        <v>35</v>
      </c>
      <c r="O35" s="3"/>
      <c r="P35" s="26">
        <f>P34-((P33-1)*$T$84)</f>
        <v>596.4285714</v>
      </c>
      <c r="Q35" s="8"/>
      <c r="R35" s="15">
        <v>34.0</v>
      </c>
      <c r="S35" s="23" t="s">
        <v>67</v>
      </c>
      <c r="T35" s="19">
        <v>50.0</v>
      </c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15">
        <v>35.0</v>
      </c>
      <c r="S36" s="16" t="s">
        <v>68</v>
      </c>
      <c r="T36" s="19">
        <v>50.0</v>
      </c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15">
        <v>36.0</v>
      </c>
      <c r="S37" s="16" t="s">
        <v>69</v>
      </c>
      <c r="T37" s="19">
        <v>50.0</v>
      </c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15">
        <v>37.0</v>
      </c>
      <c r="S38" s="23" t="s">
        <v>70</v>
      </c>
      <c r="T38" s="19">
        <v>50.0</v>
      </c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15">
        <v>38.0</v>
      </c>
      <c r="S39" s="23" t="s">
        <v>71</v>
      </c>
      <c r="T39" s="19">
        <v>50.0</v>
      </c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15">
        <v>39.0</v>
      </c>
      <c r="S40" s="16" t="s">
        <v>72</v>
      </c>
      <c r="T40" s="19">
        <v>50.0</v>
      </c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15">
        <v>40.0</v>
      </c>
      <c r="S41" s="23" t="s">
        <v>73</v>
      </c>
      <c r="T41" s="19">
        <v>50.0</v>
      </c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15">
        <v>41.0</v>
      </c>
      <c r="S42" s="16" t="s">
        <v>74</v>
      </c>
      <c r="T42" s="19">
        <v>50.0</v>
      </c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15">
        <v>42.0</v>
      </c>
      <c r="S43" s="16" t="s">
        <v>75</v>
      </c>
      <c r="T43" s="19">
        <v>50.0</v>
      </c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15">
        <v>43.0</v>
      </c>
      <c r="S44" s="23" t="s">
        <v>76</v>
      </c>
      <c r="T44" s="19">
        <v>50.0</v>
      </c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15">
        <v>44.0</v>
      </c>
      <c r="S45" s="16" t="s">
        <v>77</v>
      </c>
      <c r="T45" s="19">
        <v>50.0</v>
      </c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15">
        <v>45.0</v>
      </c>
      <c r="S46" s="23" t="s">
        <v>78</v>
      </c>
      <c r="T46" s="19">
        <v>50.0</v>
      </c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15">
        <v>46.0</v>
      </c>
      <c r="S47" s="16" t="s">
        <v>79</v>
      </c>
      <c r="T47" s="19">
        <v>50.0</v>
      </c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15">
        <v>47.0</v>
      </c>
      <c r="S48" s="23" t="s">
        <v>80</v>
      </c>
      <c r="T48" s="19">
        <v>50.0</v>
      </c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15">
        <v>48.0</v>
      </c>
      <c r="S49" s="16" t="s">
        <v>81</v>
      </c>
      <c r="T49" s="19">
        <v>50.0</v>
      </c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15">
        <v>49.0</v>
      </c>
      <c r="S50" s="23" t="s">
        <v>82</v>
      </c>
      <c r="T50" s="19">
        <v>50.0</v>
      </c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15">
        <v>50.0</v>
      </c>
      <c r="S51" s="23" t="s">
        <v>83</v>
      </c>
      <c r="T51" s="19">
        <v>50.0</v>
      </c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15">
        <v>51.0</v>
      </c>
      <c r="S52" s="16" t="s">
        <v>84</v>
      </c>
      <c r="T52" s="19">
        <v>50.0</v>
      </c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15">
        <v>52.0</v>
      </c>
      <c r="S53" s="23" t="s">
        <v>85</v>
      </c>
      <c r="T53" s="19">
        <v>50.0</v>
      </c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15">
        <v>53.0</v>
      </c>
      <c r="S54" s="23" t="s">
        <v>86</v>
      </c>
      <c r="T54" s="19">
        <v>50.0</v>
      </c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15">
        <v>54.0</v>
      </c>
      <c r="S55" s="16" t="s">
        <v>87</v>
      </c>
      <c r="T55" s="19">
        <v>50.0</v>
      </c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15">
        <v>55.0</v>
      </c>
      <c r="S56" s="16" t="s">
        <v>88</v>
      </c>
      <c r="T56" s="19">
        <v>50.0</v>
      </c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15">
        <v>56.0</v>
      </c>
      <c r="S57" s="16" t="s">
        <v>89</v>
      </c>
      <c r="T57" s="19">
        <v>50.0</v>
      </c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15">
        <v>57.0</v>
      </c>
      <c r="S58" s="23" t="s">
        <v>90</v>
      </c>
      <c r="T58" s="19">
        <v>50.0</v>
      </c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15">
        <v>58.0</v>
      </c>
      <c r="S59" s="23" t="s">
        <v>91</v>
      </c>
      <c r="T59" s="19">
        <v>50.0</v>
      </c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15">
        <v>59.0</v>
      </c>
      <c r="S60" s="16" t="s">
        <v>92</v>
      </c>
      <c r="T60" s="19">
        <v>50.0</v>
      </c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15">
        <v>60.0</v>
      </c>
      <c r="S61" s="16" t="s">
        <v>93</v>
      </c>
      <c r="T61" s="19">
        <v>50.0</v>
      </c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15">
        <v>61.0</v>
      </c>
      <c r="S62" s="23" t="s">
        <v>94</v>
      </c>
      <c r="T62" s="19">
        <v>50.0</v>
      </c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15">
        <v>62.0</v>
      </c>
      <c r="S63" s="16" t="s">
        <v>95</v>
      </c>
      <c r="T63" s="19">
        <v>50.0</v>
      </c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15">
        <v>63.0</v>
      </c>
      <c r="S64" s="23" t="s">
        <v>96</v>
      </c>
      <c r="T64" s="19">
        <v>50.0</v>
      </c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15">
        <v>64.0</v>
      </c>
      <c r="S65" s="23" t="s">
        <v>97</v>
      </c>
      <c r="T65" s="19">
        <v>50.0</v>
      </c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15">
        <v>65.0</v>
      </c>
      <c r="S66" s="16" t="s">
        <v>98</v>
      </c>
      <c r="T66" s="19">
        <v>50.0</v>
      </c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15">
        <v>66.0</v>
      </c>
      <c r="S67" s="23" t="s">
        <v>99</v>
      </c>
      <c r="T67" s="19">
        <v>50.0</v>
      </c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15">
        <v>67.0</v>
      </c>
      <c r="S68" s="23" t="s">
        <v>100</v>
      </c>
      <c r="T68" s="19">
        <v>50.0</v>
      </c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15">
        <v>68.0</v>
      </c>
      <c r="S69" s="23" t="s">
        <v>101</v>
      </c>
      <c r="T69" s="19">
        <v>50.0</v>
      </c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15">
        <v>69.0</v>
      </c>
      <c r="S70" s="16" t="s">
        <v>102</v>
      </c>
      <c r="T70" s="19">
        <v>50.0</v>
      </c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15">
        <v>70.0</v>
      </c>
      <c r="S71" s="23" t="s">
        <v>103</v>
      </c>
      <c r="T71" s="19">
        <v>50.0</v>
      </c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15">
        <v>71.0</v>
      </c>
      <c r="S72" s="23" t="s">
        <v>104</v>
      </c>
      <c r="T72" s="19">
        <v>50.0</v>
      </c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15">
        <v>72.0</v>
      </c>
      <c r="S73" s="16" t="s">
        <v>105</v>
      </c>
      <c r="T73" s="19">
        <v>50.0</v>
      </c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15">
        <v>73.0</v>
      </c>
      <c r="S74" s="23" t="s">
        <v>106</v>
      </c>
      <c r="T74" s="19">
        <v>50.0</v>
      </c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15">
        <v>74.0</v>
      </c>
      <c r="S75" s="23" t="s">
        <v>107</v>
      </c>
      <c r="T75" s="19">
        <v>50.0</v>
      </c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15">
        <v>75.0</v>
      </c>
      <c r="S76" s="23" t="s">
        <v>108</v>
      </c>
      <c r="T76" s="19">
        <v>50.0</v>
      </c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15">
        <v>76.0</v>
      </c>
      <c r="S77" s="16" t="s">
        <v>109</v>
      </c>
      <c r="T77" s="19">
        <v>50.0</v>
      </c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15">
        <v>77.0</v>
      </c>
      <c r="S78" s="23" t="s">
        <v>110</v>
      </c>
      <c r="T78" s="19">
        <v>50.0</v>
      </c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15">
        <v>78.0</v>
      </c>
      <c r="S79" s="23" t="s">
        <v>111</v>
      </c>
      <c r="T79" s="19">
        <v>50.0</v>
      </c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15">
        <v>79.0</v>
      </c>
      <c r="S80" s="23" t="s">
        <v>112</v>
      </c>
      <c r="T80" s="19">
        <v>50.0</v>
      </c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15">
        <v>80.0</v>
      </c>
      <c r="S81" s="16" t="s">
        <v>113</v>
      </c>
      <c r="T81" s="19">
        <v>50.0</v>
      </c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44"/>
      <c r="S82" s="45" t="s">
        <v>114</v>
      </c>
      <c r="T82" s="26">
        <f>SUM(T2:T81)</f>
        <v>3250</v>
      </c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44"/>
      <c r="S83" s="27" t="s">
        <v>115</v>
      </c>
      <c r="T83" s="46">
        <f>COUNT(T2:T81)</f>
        <v>70</v>
      </c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44"/>
      <c r="S84" s="27" t="s">
        <v>116</v>
      </c>
      <c r="T84" s="26">
        <f>T82/T83</f>
        <v>46.42857143</v>
      </c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47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47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47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47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47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47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47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47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47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47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47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47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47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47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47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47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47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47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47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47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47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47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47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47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47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47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47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47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47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47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47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47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47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47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47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47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47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47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47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47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47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47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47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47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47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47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47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47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47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47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47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47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47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47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47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47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47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47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47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47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47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47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47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47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47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47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47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47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47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47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47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47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47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47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47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47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47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47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47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47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47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47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47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47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47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47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47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47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47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47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47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47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47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47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47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47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47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47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47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47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47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47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47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47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47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47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47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47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47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47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47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47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47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47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47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47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47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47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47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47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47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47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47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47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47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47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47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47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47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47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47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47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47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47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47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47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47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47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47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47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47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47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47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47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47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47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47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47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47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47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47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47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47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47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47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47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47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47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47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47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47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47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47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47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47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47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47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47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47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47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47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47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47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47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47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47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47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47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47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47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47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47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47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47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47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47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47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47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47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47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47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47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47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47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47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47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47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47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47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47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47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47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47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47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47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47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47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47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47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47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47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47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47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47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47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47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47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47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47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47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47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47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47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47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47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47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47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47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47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47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47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47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47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47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47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47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47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47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47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47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47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47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47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47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47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47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47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47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47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47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47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47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47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47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47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47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47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47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47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47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47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47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47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47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47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47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47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47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47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47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47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47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47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47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47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47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47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47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47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47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47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47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47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47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47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47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47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47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47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47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47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47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47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47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47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47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47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47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47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47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47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47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47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47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47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47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47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47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47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47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47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47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47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47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47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47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47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47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47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47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47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47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47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47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47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47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47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47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47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47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47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47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47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47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47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47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47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47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47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47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47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47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47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47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47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47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47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47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47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47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47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47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47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47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47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47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47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47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47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47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47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47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47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47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47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47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47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47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47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47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47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47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47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47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47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47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47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47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47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47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47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47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47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47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47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47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47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47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47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47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47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47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47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47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47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47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47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47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47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47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47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47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47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47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47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47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47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47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47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47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47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47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47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47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47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47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47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47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47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47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47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47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47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47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47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47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47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47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47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47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47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47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47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47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47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47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47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47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47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47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47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47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47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47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47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47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47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47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47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47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47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47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47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47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47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47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47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47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47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47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47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47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47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47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47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47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47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47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47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47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47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47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47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47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47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47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47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47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47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47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47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47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47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47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47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47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47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47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47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47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47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47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47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47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47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47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47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47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47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47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47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47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47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47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47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47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47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47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47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47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47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47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47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47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47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47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47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47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47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47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47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47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47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47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47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47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47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47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47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47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47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47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47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47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47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47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47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47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47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47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47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47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47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47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47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47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47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47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47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47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47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47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47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47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47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47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47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47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47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47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47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47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47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47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47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47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47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47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47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47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47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47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47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47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47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47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47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47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47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47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47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47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47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47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47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47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47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47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47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47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47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47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47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47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47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47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47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47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47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47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47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47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47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47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47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47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47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47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47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47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47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47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47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47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47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47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47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47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47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47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47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47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47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47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47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47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47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47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47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47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47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47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47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47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47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47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47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47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47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47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47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47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47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47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47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47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47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47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47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47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47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47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47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47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47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47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47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47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47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47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47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47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47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47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47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47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47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47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47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47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47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47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47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47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47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47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47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47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47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47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47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47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47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47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47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47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47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47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47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47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47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47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47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47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47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47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47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47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47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47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47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47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47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47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47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47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47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47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47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47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47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47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47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47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47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47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47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47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47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47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47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47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47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47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47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47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47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47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47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47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47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47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47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47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47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47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47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47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47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47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47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47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47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47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47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47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47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47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47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47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47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47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47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47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47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47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47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47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47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47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47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47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47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47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47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47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47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47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47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47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47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47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47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47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47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47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47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47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47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47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47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47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47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47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47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47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47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47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47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47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47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47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47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47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47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47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47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47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47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47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47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47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47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47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47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47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47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47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47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47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47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47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47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47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47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47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47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47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47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47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47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47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47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47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47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47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47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47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47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47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47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47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47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47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47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47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47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47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47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47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47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47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47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47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47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47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47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47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47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47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47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47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47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47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47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47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47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47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47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47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47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47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47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47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47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47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47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47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47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47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47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47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47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47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47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47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47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47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47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47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47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47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47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47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47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47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47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47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47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47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47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47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47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47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47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47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47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47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47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47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47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47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47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47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47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47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47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47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47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47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47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47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47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47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47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47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47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47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47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47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47"/>
      <c r="U1005" s="8"/>
      <c r="V1005" s="8"/>
      <c r="W1005" s="8"/>
      <c r="X1005" s="8"/>
      <c r="Y1005" s="8"/>
      <c r="Z1005" s="8"/>
      <c r="AA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47"/>
      <c r="U1006" s="8"/>
      <c r="V1006" s="8"/>
      <c r="W1006" s="8"/>
      <c r="X1006" s="8"/>
      <c r="Y1006" s="8"/>
      <c r="Z1006" s="8"/>
      <c r="AA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47"/>
      <c r="U1007" s="8"/>
      <c r="V1007" s="8"/>
      <c r="W1007" s="8"/>
      <c r="X1007" s="8"/>
      <c r="Y1007" s="8"/>
      <c r="Z1007" s="8"/>
      <c r="AA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47"/>
      <c r="U1008" s="8"/>
      <c r="V1008" s="8"/>
      <c r="W1008" s="8"/>
      <c r="X1008" s="8"/>
      <c r="Y1008" s="8"/>
      <c r="Z1008" s="8"/>
      <c r="AA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47"/>
      <c r="U1009" s="8"/>
      <c r="V1009" s="8"/>
      <c r="W1009" s="8"/>
      <c r="X1009" s="8"/>
      <c r="Y1009" s="8"/>
      <c r="Z1009" s="8"/>
      <c r="AA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47"/>
      <c r="U1010" s="8"/>
      <c r="V1010" s="8"/>
      <c r="W1010" s="8"/>
      <c r="X1010" s="8"/>
      <c r="Y1010" s="8"/>
      <c r="Z1010" s="8"/>
      <c r="AA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47"/>
      <c r="U1011" s="8"/>
      <c r="V1011" s="8"/>
      <c r="W1011" s="8"/>
      <c r="X1011" s="8"/>
      <c r="Y1011" s="8"/>
      <c r="Z1011" s="8"/>
      <c r="AA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47"/>
      <c r="U1012" s="8"/>
      <c r="V1012" s="8"/>
      <c r="W1012" s="8"/>
      <c r="X1012" s="8"/>
      <c r="Y1012" s="8"/>
      <c r="Z1012" s="8"/>
      <c r="AA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47"/>
      <c r="U1013" s="8"/>
      <c r="V1013" s="8"/>
      <c r="W1013" s="8"/>
      <c r="X1013" s="8"/>
      <c r="Y1013" s="8"/>
      <c r="Z1013" s="8"/>
      <c r="AA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47"/>
      <c r="U1014" s="8"/>
      <c r="V1014" s="8"/>
      <c r="W1014" s="8"/>
      <c r="X1014" s="8"/>
      <c r="Y1014" s="8"/>
      <c r="Z1014" s="8"/>
      <c r="AA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47"/>
      <c r="U1015" s="8"/>
      <c r="V1015" s="8"/>
      <c r="W1015" s="8"/>
      <c r="X1015" s="8"/>
      <c r="Y1015" s="8"/>
      <c r="Z1015" s="8"/>
      <c r="AA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47"/>
      <c r="U1016" s="8"/>
      <c r="V1016" s="8"/>
      <c r="W1016" s="8"/>
      <c r="X1016" s="8"/>
      <c r="Y1016" s="8"/>
      <c r="Z1016" s="8"/>
      <c r="AA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47"/>
      <c r="U1017" s="8"/>
      <c r="V1017" s="8"/>
      <c r="W1017" s="8"/>
      <c r="X1017" s="8"/>
      <c r="Y1017" s="8"/>
      <c r="Z1017" s="8"/>
      <c r="AA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47"/>
      <c r="U1018" s="8"/>
      <c r="V1018" s="8"/>
      <c r="W1018" s="8"/>
      <c r="X1018" s="8"/>
      <c r="Y1018" s="8"/>
      <c r="Z1018" s="8"/>
      <c r="AA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47"/>
      <c r="U1019" s="8"/>
      <c r="V1019" s="8"/>
      <c r="W1019" s="8"/>
      <c r="X1019" s="8"/>
      <c r="Y1019" s="8"/>
      <c r="Z1019" s="8"/>
      <c r="AA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47"/>
      <c r="U1020" s="8"/>
      <c r="V1020" s="8"/>
      <c r="W1020" s="8"/>
      <c r="X1020" s="8"/>
      <c r="Y1020" s="8"/>
      <c r="Z1020" s="8"/>
      <c r="AA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47"/>
      <c r="U1021" s="8"/>
      <c r="V1021" s="8"/>
      <c r="W1021" s="8"/>
      <c r="X1021" s="8"/>
      <c r="Y1021" s="8"/>
      <c r="Z1021" s="8"/>
      <c r="AA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47"/>
      <c r="U1022" s="8"/>
      <c r="V1022" s="8"/>
      <c r="W1022" s="8"/>
      <c r="X1022" s="8"/>
      <c r="Y1022" s="8"/>
      <c r="Z1022" s="8"/>
      <c r="AA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47"/>
      <c r="U1023" s="8"/>
      <c r="V1023" s="8"/>
      <c r="W1023" s="8"/>
      <c r="X1023" s="8"/>
      <c r="Y1023" s="8"/>
      <c r="Z1023" s="8"/>
      <c r="AA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47"/>
      <c r="U1024" s="8"/>
      <c r="V1024" s="8"/>
      <c r="W1024" s="8"/>
      <c r="X1024" s="8"/>
      <c r="Y1024" s="8"/>
      <c r="Z1024" s="8"/>
      <c r="AA1024" s="8"/>
    </row>
  </sheetData>
  <mergeCells count="51">
    <mergeCell ref="G14:H14"/>
    <mergeCell ref="K14:L14"/>
    <mergeCell ref="K15:L15"/>
    <mergeCell ref="N15:O15"/>
    <mergeCell ref="K16:L16"/>
    <mergeCell ref="N16:O16"/>
    <mergeCell ref="K17:L17"/>
    <mergeCell ref="N17:O17"/>
    <mergeCell ref="A1:C1"/>
    <mergeCell ref="D1:F1"/>
    <mergeCell ref="G1:J1"/>
    <mergeCell ref="K1:M1"/>
    <mergeCell ref="N1:P1"/>
    <mergeCell ref="D14:E14"/>
    <mergeCell ref="N14:O14"/>
    <mergeCell ref="D16:E16"/>
    <mergeCell ref="D17:E17"/>
    <mergeCell ref="A18:P18"/>
    <mergeCell ref="A17:B17"/>
    <mergeCell ref="A19:C19"/>
    <mergeCell ref="D19:F19"/>
    <mergeCell ref="G19:J19"/>
    <mergeCell ref="K19:M19"/>
    <mergeCell ref="N19:P19"/>
    <mergeCell ref="A14:B14"/>
    <mergeCell ref="A15:B15"/>
    <mergeCell ref="D15:E15"/>
    <mergeCell ref="G15:H15"/>
    <mergeCell ref="A16:B16"/>
    <mergeCell ref="G16:H16"/>
    <mergeCell ref="G17:H17"/>
    <mergeCell ref="K32:L32"/>
    <mergeCell ref="K33:L33"/>
    <mergeCell ref="K34:L34"/>
    <mergeCell ref="N34:O34"/>
    <mergeCell ref="K35:L35"/>
    <mergeCell ref="N35:O35"/>
    <mergeCell ref="A33:B33"/>
    <mergeCell ref="A34:B34"/>
    <mergeCell ref="D34:E34"/>
    <mergeCell ref="G34:H34"/>
    <mergeCell ref="A35:B35"/>
    <mergeCell ref="D35:E35"/>
    <mergeCell ref="G35:H35"/>
    <mergeCell ref="A32:B32"/>
    <mergeCell ref="D32:E32"/>
    <mergeCell ref="G32:H32"/>
    <mergeCell ref="N32:O32"/>
    <mergeCell ref="D33:E33"/>
    <mergeCell ref="G33:H33"/>
    <mergeCell ref="N33:O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6.75"/>
    <col customWidth="1" min="3" max="3" width="10.13"/>
    <col customWidth="1" min="4" max="4" width="12.25"/>
    <col customWidth="1" min="5" max="5" width="9.5"/>
    <col customWidth="1" min="6" max="6" width="7.13"/>
    <col customWidth="1" min="7" max="7" width="10.88"/>
    <col customWidth="1" min="8" max="8" width="14.88"/>
    <col customWidth="1" min="9" max="26" width="8.63"/>
  </cols>
  <sheetData>
    <row r="1" ht="14.25" customHeight="1">
      <c r="A1" s="48" t="s">
        <v>117</v>
      </c>
      <c r="B1" s="48" t="s">
        <v>118</v>
      </c>
      <c r="C1" s="48" t="s">
        <v>119</v>
      </c>
      <c r="D1" s="48" t="s">
        <v>120</v>
      </c>
      <c r="E1" s="48" t="s">
        <v>121</v>
      </c>
      <c r="F1" s="48" t="s">
        <v>122</v>
      </c>
      <c r="G1" s="48" t="s">
        <v>123</v>
      </c>
      <c r="H1" s="48" t="s">
        <v>124</v>
      </c>
      <c r="I1" s="48" t="s">
        <v>125</v>
      </c>
    </row>
    <row r="2" ht="14.25" customHeight="1">
      <c r="A2" s="49" t="s">
        <v>11</v>
      </c>
      <c r="B2" s="49">
        <v>29.0</v>
      </c>
      <c r="C2" s="49" t="s">
        <v>126</v>
      </c>
      <c r="D2" s="49" t="s">
        <v>127</v>
      </c>
      <c r="E2" s="49" t="s">
        <v>128</v>
      </c>
      <c r="F2" s="49">
        <v>1302.0</v>
      </c>
      <c r="G2" s="49">
        <v>9.133012708E9</v>
      </c>
      <c r="H2" s="49" t="s">
        <v>129</v>
      </c>
      <c r="I2" s="50">
        <v>1.0</v>
      </c>
    </row>
    <row r="3" ht="14.25" customHeight="1">
      <c r="A3" s="49" t="s">
        <v>17</v>
      </c>
      <c r="B3" s="49">
        <v>37.0</v>
      </c>
      <c r="C3" s="49" t="s">
        <v>130</v>
      </c>
      <c r="D3" s="49" t="s">
        <v>127</v>
      </c>
      <c r="E3" s="49" t="s">
        <v>131</v>
      </c>
      <c r="F3" s="49">
        <v>202.0</v>
      </c>
      <c r="G3" s="49">
        <v>9.004976664E9</v>
      </c>
      <c r="H3" s="49" t="s">
        <v>129</v>
      </c>
      <c r="I3" s="50">
        <v>2.0</v>
      </c>
    </row>
    <row r="4" ht="14.25" customHeight="1">
      <c r="A4" s="51" t="s">
        <v>19</v>
      </c>
      <c r="B4" s="51">
        <v>32.0</v>
      </c>
      <c r="C4" s="51" t="s">
        <v>132</v>
      </c>
      <c r="D4" s="51" t="s">
        <v>133</v>
      </c>
      <c r="E4" s="51" t="s">
        <v>131</v>
      </c>
      <c r="F4" s="51">
        <v>105.0</v>
      </c>
      <c r="G4" s="51">
        <v>7.506277078E9</v>
      </c>
      <c r="H4" s="51" t="s">
        <v>129</v>
      </c>
      <c r="I4" s="50">
        <v>3.0</v>
      </c>
    </row>
    <row r="5" ht="14.25" customHeight="1">
      <c r="A5" s="51" t="s">
        <v>20</v>
      </c>
      <c r="B5" s="51">
        <v>24.0</v>
      </c>
      <c r="C5" s="51" t="s">
        <v>132</v>
      </c>
      <c r="D5" s="51" t="s">
        <v>127</v>
      </c>
      <c r="E5" s="51" t="s">
        <v>134</v>
      </c>
      <c r="F5" s="51">
        <v>1101.0</v>
      </c>
      <c r="G5" s="51">
        <v>9.00350424E9</v>
      </c>
      <c r="H5" s="51" t="s">
        <v>129</v>
      </c>
      <c r="I5" s="50">
        <v>4.0</v>
      </c>
    </row>
    <row r="6" ht="14.25" customHeight="1">
      <c r="A6" s="51" t="s">
        <v>21</v>
      </c>
      <c r="B6" s="51">
        <v>33.0</v>
      </c>
      <c r="C6" s="51" t="s">
        <v>126</v>
      </c>
      <c r="D6" s="51" t="s">
        <v>127</v>
      </c>
      <c r="E6" s="51" t="s">
        <v>135</v>
      </c>
      <c r="F6" s="51">
        <v>904.0</v>
      </c>
      <c r="G6" s="51">
        <v>9.00428164E9</v>
      </c>
      <c r="H6" s="51" t="s">
        <v>129</v>
      </c>
      <c r="I6" s="50">
        <v>5.0</v>
      </c>
    </row>
    <row r="7" ht="14.25" customHeight="1">
      <c r="A7" s="49" t="s">
        <v>22</v>
      </c>
      <c r="B7" s="49">
        <v>21.0</v>
      </c>
      <c r="C7" s="49" t="s">
        <v>132</v>
      </c>
      <c r="D7" s="49" t="s">
        <v>127</v>
      </c>
      <c r="E7" s="49" t="s">
        <v>134</v>
      </c>
      <c r="F7" s="49">
        <v>3006.0</v>
      </c>
      <c r="G7" s="49">
        <v>8.657389283E9</v>
      </c>
      <c r="H7" s="49" t="s">
        <v>129</v>
      </c>
      <c r="I7" s="50">
        <v>6.0</v>
      </c>
    </row>
    <row r="8" ht="14.25" customHeight="1">
      <c r="A8" s="49" t="s">
        <v>23</v>
      </c>
      <c r="B8" s="49">
        <v>36.0</v>
      </c>
      <c r="C8" s="49" t="s">
        <v>132</v>
      </c>
      <c r="D8" s="49" t="s">
        <v>127</v>
      </c>
      <c r="E8" s="49" t="s">
        <v>128</v>
      </c>
      <c r="F8" s="49">
        <v>111.0</v>
      </c>
      <c r="G8" s="49">
        <v>8.104449435E9</v>
      </c>
      <c r="H8" s="49" t="s">
        <v>129</v>
      </c>
      <c r="I8" s="50">
        <v>7.0</v>
      </c>
    </row>
    <row r="9" ht="14.25" customHeight="1">
      <c r="A9" s="49" t="s">
        <v>24</v>
      </c>
      <c r="B9" s="49">
        <v>38.0</v>
      </c>
      <c r="C9" s="49" t="s">
        <v>126</v>
      </c>
      <c r="D9" s="49" t="s">
        <v>127</v>
      </c>
      <c r="E9" s="49" t="s">
        <v>135</v>
      </c>
      <c r="F9" s="49">
        <v>603.0</v>
      </c>
      <c r="G9" s="49">
        <v>9.619161375E9</v>
      </c>
      <c r="H9" s="49" t="s">
        <v>129</v>
      </c>
      <c r="I9" s="50">
        <v>8.0</v>
      </c>
    </row>
    <row r="10" ht="14.25" customHeight="1">
      <c r="A10" s="51" t="s">
        <v>25</v>
      </c>
      <c r="B10" s="51">
        <v>32.0</v>
      </c>
      <c r="C10" s="51" t="s">
        <v>132</v>
      </c>
      <c r="D10" s="51" t="s">
        <v>127</v>
      </c>
      <c r="E10" s="51" t="s">
        <v>135</v>
      </c>
      <c r="F10" s="51">
        <v>2704.0</v>
      </c>
      <c r="G10" s="51">
        <v>8.879398947E9</v>
      </c>
      <c r="H10" s="51" t="s">
        <v>129</v>
      </c>
      <c r="I10" s="50">
        <v>9.0</v>
      </c>
    </row>
    <row r="11" ht="14.25" customHeight="1">
      <c r="A11" s="51" t="s">
        <v>26</v>
      </c>
      <c r="B11" s="51">
        <v>39.0</v>
      </c>
      <c r="C11" s="51" t="s">
        <v>132</v>
      </c>
      <c r="D11" s="51" t="s">
        <v>127</v>
      </c>
      <c r="E11" s="51" t="s">
        <v>131</v>
      </c>
      <c r="F11" s="51">
        <v>503.0</v>
      </c>
      <c r="G11" s="51">
        <v>9.867251323E9</v>
      </c>
      <c r="H11" s="51" t="s">
        <v>129</v>
      </c>
      <c r="I11" s="50">
        <v>10.0</v>
      </c>
    </row>
    <row r="12" ht="14.25" customHeight="1">
      <c r="A12" s="51" t="s">
        <v>27</v>
      </c>
      <c r="B12" s="51">
        <v>32.0</v>
      </c>
      <c r="C12" s="51" t="s">
        <v>126</v>
      </c>
      <c r="D12" s="51" t="s">
        <v>133</v>
      </c>
      <c r="E12" s="51" t="s">
        <v>135</v>
      </c>
      <c r="F12" s="51">
        <v>902.0</v>
      </c>
      <c r="G12" s="51">
        <v>9.0044005E9</v>
      </c>
      <c r="H12" s="51" t="s">
        <v>18</v>
      </c>
      <c r="I12" s="50">
        <v>11.0</v>
      </c>
    </row>
    <row r="13" ht="14.25" customHeight="1">
      <c r="A13" s="49" t="s">
        <v>28</v>
      </c>
      <c r="B13" s="49">
        <v>39.0</v>
      </c>
      <c r="C13" s="49" t="s">
        <v>132</v>
      </c>
      <c r="D13" s="49" t="s">
        <v>133</v>
      </c>
      <c r="E13" s="49" t="s">
        <v>131</v>
      </c>
      <c r="F13" s="49">
        <v>1906.0</v>
      </c>
      <c r="G13" s="49">
        <v>9.821269595E9</v>
      </c>
      <c r="H13" s="49" t="s">
        <v>18</v>
      </c>
      <c r="I13" s="50">
        <v>12.0</v>
      </c>
    </row>
    <row r="14" ht="14.25" customHeight="1">
      <c r="A14" s="51" t="s">
        <v>30</v>
      </c>
      <c r="B14" s="51">
        <v>35.0</v>
      </c>
      <c r="C14" s="51" t="s">
        <v>126</v>
      </c>
      <c r="D14" s="51" t="s">
        <v>133</v>
      </c>
      <c r="E14" s="51" t="s">
        <v>135</v>
      </c>
      <c r="F14" s="51">
        <v>1205.0</v>
      </c>
      <c r="G14" s="51">
        <v>9.821685866E9</v>
      </c>
      <c r="H14" s="51" t="s">
        <v>18</v>
      </c>
      <c r="I14" s="50">
        <v>13.0</v>
      </c>
    </row>
    <row r="15" ht="14.25" customHeight="1">
      <c r="A15" s="51" t="s">
        <v>32</v>
      </c>
      <c r="B15" s="51">
        <v>37.0</v>
      </c>
      <c r="C15" s="51" t="s">
        <v>132</v>
      </c>
      <c r="D15" s="51" t="s">
        <v>133</v>
      </c>
      <c r="E15" s="51" t="s">
        <v>135</v>
      </c>
      <c r="F15" s="51">
        <v>502.0</v>
      </c>
      <c r="G15" s="51">
        <v>9.004491187E9</v>
      </c>
      <c r="H15" s="51" t="s">
        <v>18</v>
      </c>
      <c r="I15" s="50">
        <v>14.0</v>
      </c>
    </row>
    <row r="16" ht="14.25" customHeight="1">
      <c r="A16" s="49" t="s">
        <v>34</v>
      </c>
      <c r="B16" s="49">
        <v>47.0</v>
      </c>
      <c r="C16" s="49" t="s">
        <v>132</v>
      </c>
      <c r="D16" s="49" t="s">
        <v>133</v>
      </c>
      <c r="E16" s="49" t="s">
        <v>135</v>
      </c>
      <c r="F16" s="49">
        <v>2005.0</v>
      </c>
      <c r="G16" s="49">
        <v>9.762000831E9</v>
      </c>
      <c r="H16" s="49" t="s">
        <v>18</v>
      </c>
      <c r="I16" s="50">
        <v>15.0</v>
      </c>
    </row>
    <row r="17" ht="14.25" customHeight="1">
      <c r="A17" s="51" t="s">
        <v>36</v>
      </c>
      <c r="B17" s="51">
        <v>46.0</v>
      </c>
      <c r="C17" s="51" t="s">
        <v>132</v>
      </c>
      <c r="D17" s="51" t="s">
        <v>133</v>
      </c>
      <c r="E17" s="51" t="s">
        <v>131</v>
      </c>
      <c r="F17" s="51">
        <v>2204.0</v>
      </c>
      <c r="G17" s="51">
        <v>9.769374477E9</v>
      </c>
      <c r="H17" s="51" t="s">
        <v>18</v>
      </c>
      <c r="I17" s="50">
        <v>16.0</v>
      </c>
    </row>
    <row r="18" ht="14.25" customHeight="1">
      <c r="A18" s="49" t="s">
        <v>37</v>
      </c>
      <c r="B18" s="49">
        <v>45.0</v>
      </c>
      <c r="C18" s="49" t="s">
        <v>132</v>
      </c>
      <c r="D18" s="49" t="s">
        <v>133</v>
      </c>
      <c r="E18" s="49" t="s">
        <v>135</v>
      </c>
      <c r="F18" s="49">
        <v>1405.0</v>
      </c>
      <c r="G18" s="49">
        <v>9.664444059E9</v>
      </c>
      <c r="H18" s="49" t="s">
        <v>18</v>
      </c>
      <c r="I18" s="50">
        <v>17.0</v>
      </c>
    </row>
    <row r="19" ht="14.25" customHeight="1">
      <c r="A19" s="49" t="s">
        <v>43</v>
      </c>
      <c r="B19" s="49">
        <v>38.0</v>
      </c>
      <c r="C19" s="49" t="s">
        <v>130</v>
      </c>
      <c r="D19" s="49" t="s">
        <v>133</v>
      </c>
      <c r="E19" s="49" t="s">
        <v>131</v>
      </c>
      <c r="F19" s="49">
        <v>301.0</v>
      </c>
      <c r="G19" s="49">
        <v>9.930858581E9</v>
      </c>
      <c r="H19" s="49" t="s">
        <v>18</v>
      </c>
      <c r="I19" s="50">
        <v>18.0</v>
      </c>
    </row>
    <row r="20" ht="14.25" customHeight="1">
      <c r="A20" s="49" t="s">
        <v>44</v>
      </c>
      <c r="B20" s="49">
        <v>34.0</v>
      </c>
      <c r="C20" s="49" t="s">
        <v>130</v>
      </c>
      <c r="D20" s="49" t="s">
        <v>133</v>
      </c>
      <c r="E20" s="49" t="s">
        <v>131</v>
      </c>
      <c r="F20" s="49">
        <v>605.0</v>
      </c>
      <c r="G20" s="49">
        <v>7.276856498E9</v>
      </c>
      <c r="H20" s="49" t="s">
        <v>18</v>
      </c>
      <c r="I20" s="50">
        <v>19.0</v>
      </c>
    </row>
    <row r="21" ht="14.25" customHeight="1">
      <c r="A21" s="51" t="s">
        <v>50</v>
      </c>
      <c r="B21" s="51">
        <v>35.0</v>
      </c>
      <c r="C21" s="51" t="s">
        <v>132</v>
      </c>
      <c r="D21" s="51" t="s">
        <v>133</v>
      </c>
      <c r="E21" s="51" t="s">
        <v>131</v>
      </c>
      <c r="F21" s="51">
        <v>2305.0</v>
      </c>
      <c r="G21" s="51">
        <v>8.080551661E9</v>
      </c>
      <c r="H21" s="51" t="s">
        <v>18</v>
      </c>
      <c r="I21" s="50">
        <v>20.0</v>
      </c>
    </row>
    <row r="22" ht="14.25" customHeight="1">
      <c r="A22" s="51" t="s">
        <v>51</v>
      </c>
      <c r="B22" s="51">
        <v>32.0</v>
      </c>
      <c r="C22" s="51" t="s">
        <v>126</v>
      </c>
      <c r="D22" s="51" t="s">
        <v>127</v>
      </c>
      <c r="E22" s="51" t="s">
        <v>135</v>
      </c>
      <c r="F22" s="51">
        <v>305.0</v>
      </c>
      <c r="G22" s="51">
        <v>9.619760033E9</v>
      </c>
      <c r="H22" s="51" t="s">
        <v>126</v>
      </c>
      <c r="I22" s="50">
        <v>21.0</v>
      </c>
    </row>
    <row r="23" ht="14.25" customHeight="1">
      <c r="A23" s="49" t="s">
        <v>53</v>
      </c>
      <c r="B23" s="49">
        <v>35.0</v>
      </c>
      <c r="C23" s="49" t="s">
        <v>126</v>
      </c>
      <c r="D23" s="49" t="s">
        <v>127</v>
      </c>
      <c r="E23" s="49" t="s">
        <v>134</v>
      </c>
      <c r="F23" s="49">
        <v>904.0</v>
      </c>
      <c r="G23" s="49">
        <v>9.820176079E9</v>
      </c>
      <c r="H23" s="49" t="s">
        <v>126</v>
      </c>
      <c r="I23" s="50">
        <v>22.0</v>
      </c>
    </row>
    <row r="24" ht="14.25" customHeight="1">
      <c r="A24" s="51" t="s">
        <v>55</v>
      </c>
      <c r="B24" s="51">
        <v>36.0</v>
      </c>
      <c r="C24" s="51" t="s">
        <v>132</v>
      </c>
      <c r="D24" s="51" t="s">
        <v>127</v>
      </c>
      <c r="E24" s="51" t="s">
        <v>131</v>
      </c>
      <c r="F24" s="51">
        <v>102.0</v>
      </c>
      <c r="G24" s="51">
        <v>8.108872051E9</v>
      </c>
      <c r="H24" s="51" t="s">
        <v>126</v>
      </c>
      <c r="I24" s="50">
        <v>23.0</v>
      </c>
    </row>
    <row r="25" ht="14.25" customHeight="1">
      <c r="A25" s="49" t="s">
        <v>57</v>
      </c>
      <c r="B25" s="49">
        <v>36.0</v>
      </c>
      <c r="C25" s="49" t="s">
        <v>126</v>
      </c>
      <c r="D25" s="49" t="s">
        <v>133</v>
      </c>
      <c r="E25" s="49" t="s">
        <v>131</v>
      </c>
      <c r="F25" s="49">
        <v>1501.0</v>
      </c>
      <c r="G25" s="49">
        <v>9.773353367E9</v>
      </c>
      <c r="H25" s="49" t="s">
        <v>126</v>
      </c>
      <c r="I25" s="50">
        <v>24.0</v>
      </c>
    </row>
    <row r="26" ht="14.25" customHeight="1">
      <c r="A26" s="51" t="s">
        <v>58</v>
      </c>
      <c r="B26" s="51">
        <v>26.0</v>
      </c>
      <c r="C26" s="51" t="s">
        <v>126</v>
      </c>
      <c r="D26" s="51" t="s">
        <v>136</v>
      </c>
      <c r="E26" s="51" t="s">
        <v>135</v>
      </c>
      <c r="F26" s="51">
        <v>2001.0</v>
      </c>
      <c r="G26" s="51">
        <v>8.4080981E9</v>
      </c>
      <c r="H26" s="51" t="s">
        <v>126</v>
      </c>
      <c r="I26" s="50">
        <v>25.0</v>
      </c>
    </row>
    <row r="27" ht="14.25" customHeight="1">
      <c r="A27" s="49" t="s">
        <v>59</v>
      </c>
      <c r="B27" s="49">
        <v>45.0</v>
      </c>
      <c r="C27" s="49" t="s">
        <v>126</v>
      </c>
      <c r="D27" s="49" t="s">
        <v>127</v>
      </c>
      <c r="E27" s="49" t="s">
        <v>131</v>
      </c>
      <c r="F27" s="49">
        <v>1804.0</v>
      </c>
      <c r="G27" s="49">
        <v>9.00402517E9</v>
      </c>
      <c r="H27" s="49" t="s">
        <v>126</v>
      </c>
      <c r="I27" s="50">
        <v>26.0</v>
      </c>
    </row>
    <row r="28" ht="14.25" customHeight="1">
      <c r="A28" s="49" t="s">
        <v>60</v>
      </c>
      <c r="B28" s="49">
        <v>41.0</v>
      </c>
      <c r="C28" s="49" t="s">
        <v>126</v>
      </c>
      <c r="D28" s="49" t="s">
        <v>133</v>
      </c>
      <c r="E28" s="49" t="s">
        <v>135</v>
      </c>
      <c r="F28" s="49">
        <v>304.0</v>
      </c>
      <c r="G28" s="49">
        <v>9.769688514E9</v>
      </c>
      <c r="H28" s="49" t="s">
        <v>126</v>
      </c>
      <c r="I28" s="50">
        <v>27.0</v>
      </c>
    </row>
    <row r="29" ht="14.25" customHeight="1">
      <c r="A29" s="49" t="s">
        <v>61</v>
      </c>
      <c r="B29" s="49">
        <v>37.0</v>
      </c>
      <c r="C29" s="49" t="s">
        <v>126</v>
      </c>
      <c r="D29" s="49" t="s">
        <v>133</v>
      </c>
      <c r="E29" s="49" t="s">
        <v>135</v>
      </c>
      <c r="F29" s="49">
        <v>1106.0</v>
      </c>
      <c r="G29" s="49">
        <v>9.820082612E9</v>
      </c>
      <c r="H29" s="49" t="s">
        <v>126</v>
      </c>
      <c r="I29" s="50">
        <v>28.0</v>
      </c>
    </row>
    <row r="30" ht="14.25" customHeight="1">
      <c r="A30" s="49" t="s">
        <v>62</v>
      </c>
      <c r="B30" s="49">
        <v>38.0</v>
      </c>
      <c r="C30" s="49" t="s">
        <v>126</v>
      </c>
      <c r="D30" s="49" t="s">
        <v>133</v>
      </c>
      <c r="E30" s="49" t="s">
        <v>135</v>
      </c>
      <c r="F30" s="49">
        <v>1003.0</v>
      </c>
      <c r="G30" s="49">
        <v>9.167240062E9</v>
      </c>
      <c r="H30" s="49" t="s">
        <v>126</v>
      </c>
      <c r="I30" s="50">
        <v>29.0</v>
      </c>
    </row>
    <row r="31" ht="14.25" customHeight="1">
      <c r="A31" s="51" t="s">
        <v>63</v>
      </c>
      <c r="B31" s="51">
        <v>38.0</v>
      </c>
      <c r="C31" s="51" t="s">
        <v>126</v>
      </c>
      <c r="D31" s="51" t="s">
        <v>127</v>
      </c>
      <c r="E31" s="51" t="s">
        <v>131</v>
      </c>
      <c r="F31" s="51">
        <v>602.0</v>
      </c>
      <c r="G31" s="51">
        <v>9.167832822E9</v>
      </c>
      <c r="H31" s="51" t="s">
        <v>126</v>
      </c>
      <c r="I31" s="50">
        <v>30.0</v>
      </c>
    </row>
    <row r="32" ht="14.25" customHeight="1">
      <c r="A32" s="49" t="s">
        <v>64</v>
      </c>
      <c r="B32" s="49">
        <v>28.0</v>
      </c>
      <c r="C32" s="49" t="s">
        <v>126</v>
      </c>
      <c r="D32" s="49" t="s">
        <v>127</v>
      </c>
      <c r="E32" s="49" t="s">
        <v>134</v>
      </c>
      <c r="F32" s="49">
        <v>1504.0</v>
      </c>
      <c r="G32" s="49">
        <v>9.959204102E9</v>
      </c>
      <c r="H32" s="49" t="s">
        <v>126</v>
      </c>
      <c r="I32" s="50">
        <v>31.0</v>
      </c>
    </row>
    <row r="33" ht="14.25" customHeight="1">
      <c r="A33" s="51" t="s">
        <v>65</v>
      </c>
      <c r="B33" s="51">
        <v>42.0</v>
      </c>
      <c r="C33" s="51" t="s">
        <v>126</v>
      </c>
      <c r="D33" s="51" t="s">
        <v>127</v>
      </c>
      <c r="E33" s="51" t="s">
        <v>134</v>
      </c>
      <c r="F33" s="51">
        <v>1203.0</v>
      </c>
      <c r="G33" s="51">
        <v>7.498757166E9</v>
      </c>
      <c r="H33" s="51" t="s">
        <v>126</v>
      </c>
      <c r="I33" s="50">
        <v>32.0</v>
      </c>
    </row>
    <row r="34" ht="14.25" customHeight="1">
      <c r="A34" s="49" t="s">
        <v>66</v>
      </c>
      <c r="B34" s="49">
        <v>25.0</v>
      </c>
      <c r="C34" s="49" t="s">
        <v>126</v>
      </c>
      <c r="D34" s="49" t="s">
        <v>127</v>
      </c>
      <c r="E34" s="49" t="s">
        <v>135</v>
      </c>
      <c r="F34" s="49">
        <v>904.0</v>
      </c>
      <c r="G34" s="49">
        <v>9.004349759E9</v>
      </c>
      <c r="H34" s="49" t="s">
        <v>126</v>
      </c>
      <c r="I34" s="50">
        <v>33.0</v>
      </c>
    </row>
    <row r="35" ht="14.25" customHeight="1">
      <c r="A35" s="51" t="s">
        <v>67</v>
      </c>
      <c r="B35" s="51">
        <v>37.0</v>
      </c>
      <c r="C35" s="51" t="s">
        <v>126</v>
      </c>
      <c r="D35" s="51" t="s">
        <v>127</v>
      </c>
      <c r="E35" s="51" t="s">
        <v>128</v>
      </c>
      <c r="F35" s="51">
        <v>803.0</v>
      </c>
      <c r="G35" s="51">
        <v>9.89238064E9</v>
      </c>
      <c r="H35" s="51" t="s">
        <v>126</v>
      </c>
      <c r="I35" s="50">
        <v>34.0</v>
      </c>
    </row>
    <row r="36" ht="14.25" customHeight="1">
      <c r="A36" s="49" t="s">
        <v>68</v>
      </c>
      <c r="B36" s="49">
        <v>43.0</v>
      </c>
      <c r="C36" s="49" t="s">
        <v>126</v>
      </c>
      <c r="D36" s="49" t="s">
        <v>136</v>
      </c>
      <c r="E36" s="49" t="s">
        <v>131</v>
      </c>
      <c r="F36" s="49">
        <v>2402.0</v>
      </c>
      <c r="G36" s="49">
        <v>9.960792439E9</v>
      </c>
      <c r="H36" s="49" t="s">
        <v>126</v>
      </c>
      <c r="I36" s="50">
        <v>35.0</v>
      </c>
    </row>
    <row r="37" ht="14.25" customHeight="1">
      <c r="A37" s="49" t="s">
        <v>69</v>
      </c>
      <c r="B37" s="49">
        <v>56.0</v>
      </c>
      <c r="C37" s="49" t="s">
        <v>126</v>
      </c>
      <c r="D37" s="49" t="s">
        <v>133</v>
      </c>
      <c r="E37" s="49" t="s">
        <v>131</v>
      </c>
      <c r="F37" s="49">
        <v>2202.0</v>
      </c>
      <c r="G37" s="49">
        <v>9.704403451E9</v>
      </c>
      <c r="H37" s="49" t="s">
        <v>126</v>
      </c>
      <c r="I37" s="50">
        <v>36.0</v>
      </c>
    </row>
    <row r="38" ht="14.25" customHeight="1">
      <c r="A38" s="51" t="s">
        <v>70</v>
      </c>
      <c r="B38" s="51">
        <v>40.0</v>
      </c>
      <c r="C38" s="51" t="s">
        <v>132</v>
      </c>
      <c r="D38" s="51" t="s">
        <v>127</v>
      </c>
      <c r="E38" s="51" t="s">
        <v>134</v>
      </c>
      <c r="F38" s="51">
        <v>2105.0</v>
      </c>
      <c r="G38" s="51">
        <v>8.879607155E9</v>
      </c>
      <c r="H38" s="51" t="s">
        <v>126</v>
      </c>
      <c r="I38" s="50">
        <v>37.0</v>
      </c>
    </row>
    <row r="39" ht="14.25" customHeight="1">
      <c r="A39" s="51" t="s">
        <v>71</v>
      </c>
      <c r="B39" s="51">
        <v>30.0</v>
      </c>
      <c r="C39" s="51" t="s">
        <v>126</v>
      </c>
      <c r="D39" s="51" t="s">
        <v>127</v>
      </c>
      <c r="E39" s="51" t="s">
        <v>137</v>
      </c>
      <c r="F39" s="51">
        <v>2902.0</v>
      </c>
      <c r="G39" s="51">
        <v>7.415884361E9</v>
      </c>
      <c r="H39" s="51" t="s">
        <v>126</v>
      </c>
      <c r="I39" s="50">
        <v>38.0</v>
      </c>
    </row>
    <row r="40" ht="14.25" customHeight="1">
      <c r="A40" s="49" t="s">
        <v>72</v>
      </c>
      <c r="B40" s="49">
        <v>35.0</v>
      </c>
      <c r="C40" s="49" t="s">
        <v>126</v>
      </c>
      <c r="D40" s="49" t="s">
        <v>127</v>
      </c>
      <c r="E40" s="49" t="s">
        <v>135</v>
      </c>
      <c r="F40" s="49">
        <v>302.0</v>
      </c>
      <c r="G40" s="49">
        <v>8.655829786E9</v>
      </c>
      <c r="H40" s="49" t="s">
        <v>126</v>
      </c>
      <c r="I40" s="50">
        <v>39.0</v>
      </c>
    </row>
    <row r="41" ht="14.25" customHeight="1">
      <c r="A41" s="51" t="s">
        <v>73</v>
      </c>
      <c r="B41" s="51">
        <v>42.0</v>
      </c>
      <c r="C41" s="51" t="s">
        <v>126</v>
      </c>
      <c r="D41" s="51" t="s">
        <v>133</v>
      </c>
      <c r="E41" s="51" t="s">
        <v>135</v>
      </c>
      <c r="F41" s="51">
        <v>703.0</v>
      </c>
      <c r="G41" s="51">
        <v>7.04568854E9</v>
      </c>
      <c r="H41" s="51" t="s">
        <v>126</v>
      </c>
      <c r="I41" s="50">
        <v>40.0</v>
      </c>
    </row>
    <row r="42" ht="14.25" customHeight="1">
      <c r="A42" s="49" t="s">
        <v>74</v>
      </c>
      <c r="B42" s="49">
        <v>36.0</v>
      </c>
      <c r="C42" s="49" t="s">
        <v>130</v>
      </c>
      <c r="D42" s="49" t="s">
        <v>127</v>
      </c>
      <c r="E42" s="49" t="s">
        <v>134</v>
      </c>
      <c r="F42" s="49">
        <v>2702.0</v>
      </c>
      <c r="G42" s="49">
        <v>9.860242724E9</v>
      </c>
      <c r="H42" s="49" t="s">
        <v>130</v>
      </c>
      <c r="I42" s="50">
        <v>41.0</v>
      </c>
    </row>
    <row r="43" ht="14.25" customHeight="1">
      <c r="A43" s="49" t="s">
        <v>75</v>
      </c>
      <c r="B43" s="49">
        <v>53.0</v>
      </c>
      <c r="C43" s="49" t="s">
        <v>132</v>
      </c>
      <c r="D43" s="49" t="s">
        <v>133</v>
      </c>
      <c r="E43" s="49" t="s">
        <v>131</v>
      </c>
      <c r="F43" s="49">
        <v>2501.0</v>
      </c>
      <c r="G43" s="49">
        <v>9.820366592E9</v>
      </c>
      <c r="H43" s="49" t="s">
        <v>130</v>
      </c>
      <c r="I43" s="50">
        <v>42.0</v>
      </c>
    </row>
    <row r="44" ht="14.25" customHeight="1">
      <c r="A44" s="51" t="s">
        <v>76</v>
      </c>
      <c r="B44" s="51">
        <v>29.0</v>
      </c>
      <c r="C44" s="51" t="s">
        <v>130</v>
      </c>
      <c r="D44" s="51" t="s">
        <v>136</v>
      </c>
      <c r="E44" s="51" t="s">
        <v>135</v>
      </c>
      <c r="F44" s="51">
        <v>1304.0</v>
      </c>
      <c r="G44" s="51">
        <v>9.960654479E9</v>
      </c>
      <c r="H44" s="51" t="s">
        <v>130</v>
      </c>
      <c r="I44" s="50">
        <v>43.0</v>
      </c>
    </row>
    <row r="45" ht="14.25" customHeight="1">
      <c r="A45" s="49" t="s">
        <v>77</v>
      </c>
      <c r="B45" s="49">
        <v>28.0</v>
      </c>
      <c r="C45" s="49" t="s">
        <v>132</v>
      </c>
      <c r="D45" s="49" t="s">
        <v>127</v>
      </c>
      <c r="E45" s="49" t="s">
        <v>134</v>
      </c>
      <c r="F45" s="49">
        <v>2005.0</v>
      </c>
      <c r="G45" s="49">
        <v>9.588681525E9</v>
      </c>
      <c r="H45" s="49" t="s">
        <v>130</v>
      </c>
      <c r="I45" s="50">
        <v>44.0</v>
      </c>
    </row>
    <row r="46" ht="14.25" customHeight="1">
      <c r="A46" s="51" t="s">
        <v>78</v>
      </c>
      <c r="B46" s="51">
        <v>42.0</v>
      </c>
      <c r="C46" s="51" t="s">
        <v>130</v>
      </c>
      <c r="D46" s="51" t="s">
        <v>136</v>
      </c>
      <c r="E46" s="51" t="s">
        <v>131</v>
      </c>
      <c r="F46" s="51">
        <v>804.0</v>
      </c>
      <c r="G46" s="51">
        <v>9.819481085E9</v>
      </c>
      <c r="H46" s="51" t="s">
        <v>130</v>
      </c>
      <c r="I46" s="50">
        <v>45.0</v>
      </c>
    </row>
    <row r="47" ht="14.25" customHeight="1">
      <c r="A47" s="49" t="s">
        <v>79</v>
      </c>
      <c r="B47" s="49">
        <v>45.0</v>
      </c>
      <c r="C47" s="49" t="s">
        <v>130</v>
      </c>
      <c r="D47" s="49" t="s">
        <v>133</v>
      </c>
      <c r="E47" s="49" t="s">
        <v>131</v>
      </c>
      <c r="F47" s="49">
        <v>706.0</v>
      </c>
      <c r="G47" s="49">
        <v>9.81922931E9</v>
      </c>
      <c r="H47" s="49" t="s">
        <v>130</v>
      </c>
      <c r="I47" s="50">
        <v>46.0</v>
      </c>
    </row>
    <row r="48" ht="14.25" customHeight="1">
      <c r="A48" s="51" t="s">
        <v>80</v>
      </c>
      <c r="B48" s="51">
        <v>40.0</v>
      </c>
      <c r="C48" s="51" t="s">
        <v>130</v>
      </c>
      <c r="D48" s="51" t="s">
        <v>127</v>
      </c>
      <c r="E48" s="51" t="s">
        <v>134</v>
      </c>
      <c r="F48" s="51">
        <v>3004.0</v>
      </c>
      <c r="G48" s="51">
        <v>8.939863644E9</v>
      </c>
      <c r="H48" s="51" t="s">
        <v>130</v>
      </c>
      <c r="I48" s="50">
        <v>47.0</v>
      </c>
    </row>
    <row r="49" ht="14.25" customHeight="1">
      <c r="A49" s="49" t="s">
        <v>81</v>
      </c>
      <c r="B49" s="49">
        <v>20.0</v>
      </c>
      <c r="C49" s="49" t="s">
        <v>130</v>
      </c>
      <c r="D49" s="49" t="s">
        <v>133</v>
      </c>
      <c r="E49" s="49" t="s">
        <v>135</v>
      </c>
      <c r="F49" s="49">
        <v>1805.0</v>
      </c>
      <c r="G49" s="49">
        <v>7.710068233E9</v>
      </c>
      <c r="H49" s="49" t="s">
        <v>130</v>
      </c>
      <c r="I49" s="50">
        <v>48.0</v>
      </c>
    </row>
    <row r="50" ht="14.25" customHeight="1">
      <c r="A50" s="51" t="s">
        <v>82</v>
      </c>
      <c r="B50" s="51">
        <v>40.0</v>
      </c>
      <c r="C50" s="51" t="s">
        <v>130</v>
      </c>
      <c r="D50" s="51" t="s">
        <v>133</v>
      </c>
      <c r="E50" s="51" t="s">
        <v>131</v>
      </c>
      <c r="F50" s="51">
        <v>1701.0</v>
      </c>
      <c r="G50" s="51">
        <v>9.987606478E9</v>
      </c>
      <c r="H50" s="51" t="s">
        <v>130</v>
      </c>
      <c r="I50" s="50">
        <v>49.0</v>
      </c>
    </row>
    <row r="51" ht="14.25" customHeight="1">
      <c r="A51" s="51" t="s">
        <v>83</v>
      </c>
      <c r="B51" s="51">
        <v>49.0</v>
      </c>
      <c r="C51" s="51" t="s">
        <v>130</v>
      </c>
      <c r="D51" s="51" t="s">
        <v>136</v>
      </c>
      <c r="E51" s="51" t="s">
        <v>131</v>
      </c>
      <c r="F51" s="51">
        <v>406.0</v>
      </c>
      <c r="G51" s="51">
        <v>8.169637404E9</v>
      </c>
      <c r="H51" s="51" t="s">
        <v>130</v>
      </c>
      <c r="I51" s="50">
        <v>50.0</v>
      </c>
    </row>
    <row r="52" ht="14.25" customHeight="1">
      <c r="A52" s="49" t="s">
        <v>84</v>
      </c>
      <c r="B52" s="49">
        <v>60.0</v>
      </c>
      <c r="C52" s="49" t="s">
        <v>130</v>
      </c>
      <c r="D52" s="49" t="s">
        <v>127</v>
      </c>
      <c r="E52" s="49" t="s">
        <v>134</v>
      </c>
      <c r="F52" s="49">
        <v>105.0</v>
      </c>
      <c r="G52" s="49">
        <v>9.867270767E9</v>
      </c>
      <c r="H52" s="49" t="s">
        <v>130</v>
      </c>
      <c r="I52" s="50">
        <v>51.0</v>
      </c>
    </row>
    <row r="53" ht="14.25" customHeight="1">
      <c r="A53" s="51" t="s">
        <v>85</v>
      </c>
      <c r="B53" s="51">
        <v>39.0</v>
      </c>
      <c r="C53" s="51" t="s">
        <v>130</v>
      </c>
      <c r="D53" s="51" t="s">
        <v>127</v>
      </c>
      <c r="E53" s="51" t="s">
        <v>128</v>
      </c>
      <c r="F53" s="51">
        <v>1002.0</v>
      </c>
      <c r="G53" s="51">
        <v>9.321113653E9</v>
      </c>
      <c r="H53" s="51" t="s">
        <v>130</v>
      </c>
      <c r="I53" s="50">
        <v>52.0</v>
      </c>
    </row>
    <row r="54" ht="14.25" customHeight="1">
      <c r="A54" s="51" t="s">
        <v>86</v>
      </c>
      <c r="B54" s="51">
        <v>32.0</v>
      </c>
      <c r="C54" s="51" t="s">
        <v>130</v>
      </c>
      <c r="D54" s="51" t="s">
        <v>136</v>
      </c>
      <c r="E54" s="51" t="s">
        <v>131</v>
      </c>
      <c r="F54" s="51">
        <v>503.0</v>
      </c>
      <c r="G54" s="51">
        <v>9.029147937E9</v>
      </c>
      <c r="H54" s="51" t="s">
        <v>130</v>
      </c>
      <c r="I54" s="50">
        <v>53.0</v>
      </c>
    </row>
    <row r="55" ht="14.25" customHeight="1">
      <c r="A55" s="49" t="s">
        <v>87</v>
      </c>
      <c r="B55" s="49">
        <v>41.0</v>
      </c>
      <c r="C55" s="49" t="s">
        <v>132</v>
      </c>
      <c r="D55" s="49" t="s">
        <v>136</v>
      </c>
      <c r="E55" s="49" t="s">
        <v>131</v>
      </c>
      <c r="F55" s="49">
        <v>2407.0</v>
      </c>
      <c r="G55" s="49">
        <v>9.594679742E9</v>
      </c>
      <c r="H55" s="49" t="s">
        <v>130</v>
      </c>
      <c r="I55" s="50">
        <v>54.0</v>
      </c>
    </row>
    <row r="56" ht="14.25" customHeight="1">
      <c r="A56" s="49" t="s">
        <v>88</v>
      </c>
      <c r="B56" s="49">
        <v>41.0</v>
      </c>
      <c r="C56" s="49" t="s">
        <v>130</v>
      </c>
      <c r="D56" s="49" t="s">
        <v>133</v>
      </c>
      <c r="E56" s="49" t="s">
        <v>131</v>
      </c>
      <c r="F56" s="49">
        <v>2002.0</v>
      </c>
      <c r="G56" s="49">
        <v>9.867560419E9</v>
      </c>
      <c r="H56" s="49" t="s">
        <v>130</v>
      </c>
      <c r="I56" s="50">
        <v>55.0</v>
      </c>
    </row>
    <row r="57" ht="14.25" customHeight="1">
      <c r="A57" s="49" t="s">
        <v>89</v>
      </c>
      <c r="B57" s="49">
        <v>42.0</v>
      </c>
      <c r="C57" s="49" t="s">
        <v>132</v>
      </c>
      <c r="D57" s="49" t="s">
        <v>127</v>
      </c>
      <c r="E57" s="49" t="s">
        <v>135</v>
      </c>
      <c r="F57" s="49">
        <v>1802.0</v>
      </c>
      <c r="G57" s="49">
        <v>9.870878889E9</v>
      </c>
      <c r="H57" s="49" t="s">
        <v>130</v>
      </c>
      <c r="I57" s="50">
        <v>56.0</v>
      </c>
    </row>
    <row r="58" ht="14.25" customHeight="1">
      <c r="A58" s="51" t="s">
        <v>90</v>
      </c>
      <c r="B58" s="51">
        <v>29.0</v>
      </c>
      <c r="C58" s="51" t="s">
        <v>130</v>
      </c>
      <c r="D58" s="51" t="s">
        <v>127</v>
      </c>
      <c r="E58" s="51" t="s">
        <v>135</v>
      </c>
      <c r="F58" s="51">
        <v>2402.0</v>
      </c>
      <c r="G58" s="51">
        <v>9.870225421E9</v>
      </c>
      <c r="H58" s="51" t="s">
        <v>130</v>
      </c>
      <c r="I58" s="50">
        <v>57.0</v>
      </c>
    </row>
    <row r="59" ht="14.25" customHeight="1">
      <c r="A59" s="51" t="s">
        <v>91</v>
      </c>
      <c r="B59" s="51">
        <v>44.0</v>
      </c>
      <c r="C59" s="51" t="s">
        <v>130</v>
      </c>
      <c r="D59" s="51" t="s">
        <v>133</v>
      </c>
      <c r="E59" s="51" t="s">
        <v>135</v>
      </c>
      <c r="F59" s="51">
        <v>905.0</v>
      </c>
      <c r="G59" s="51">
        <v>9.76904296E9</v>
      </c>
      <c r="H59" s="51" t="s">
        <v>130</v>
      </c>
      <c r="I59" s="50">
        <v>58.0</v>
      </c>
    </row>
    <row r="60" ht="14.25" customHeight="1">
      <c r="A60" s="49" t="s">
        <v>92</v>
      </c>
      <c r="B60" s="49">
        <v>34.0</v>
      </c>
      <c r="C60" s="49" t="s">
        <v>132</v>
      </c>
      <c r="D60" s="49" t="s">
        <v>127</v>
      </c>
      <c r="E60" s="49" t="s">
        <v>128</v>
      </c>
      <c r="F60" s="49">
        <v>2504.0</v>
      </c>
      <c r="G60" s="49">
        <v>9.967720095E9</v>
      </c>
      <c r="H60" s="49" t="s">
        <v>130</v>
      </c>
      <c r="I60" s="50">
        <v>59.0</v>
      </c>
    </row>
    <row r="61" ht="14.25" customHeight="1">
      <c r="A61" s="49" t="s">
        <v>93</v>
      </c>
      <c r="B61" s="49">
        <v>49.0</v>
      </c>
      <c r="C61" s="49" t="s">
        <v>132</v>
      </c>
      <c r="D61" s="49" t="s">
        <v>127</v>
      </c>
      <c r="E61" s="49" t="s">
        <v>131</v>
      </c>
      <c r="F61" s="49">
        <v>2203.0</v>
      </c>
      <c r="G61" s="49">
        <v>9.892458414E9</v>
      </c>
      <c r="H61" s="49" t="s">
        <v>130</v>
      </c>
      <c r="I61" s="50">
        <v>60.0</v>
      </c>
    </row>
    <row r="62" ht="14.25" customHeight="1">
      <c r="A62" s="51" t="s">
        <v>94</v>
      </c>
      <c r="B62" s="51">
        <v>38.0</v>
      </c>
      <c r="C62" s="51" t="s">
        <v>132</v>
      </c>
      <c r="D62" s="51" t="s">
        <v>133</v>
      </c>
      <c r="E62" s="51" t="s">
        <v>135</v>
      </c>
      <c r="F62" s="51">
        <v>704.0</v>
      </c>
      <c r="G62" s="51">
        <v>9.819433363E9</v>
      </c>
      <c r="H62" s="51" t="s">
        <v>132</v>
      </c>
      <c r="I62" s="50">
        <v>61.0</v>
      </c>
    </row>
    <row r="63" ht="14.25" customHeight="1">
      <c r="A63" s="49" t="s">
        <v>95</v>
      </c>
      <c r="B63" s="49">
        <v>34.0</v>
      </c>
      <c r="C63" s="49" t="s">
        <v>132</v>
      </c>
      <c r="D63" s="49" t="s">
        <v>127</v>
      </c>
      <c r="E63" s="49" t="s">
        <v>134</v>
      </c>
      <c r="F63" s="49">
        <v>3003.0</v>
      </c>
      <c r="G63" s="49">
        <v>9.664580962E9</v>
      </c>
      <c r="H63" s="49" t="s">
        <v>132</v>
      </c>
      <c r="I63" s="50">
        <v>62.0</v>
      </c>
    </row>
    <row r="64" ht="14.25" customHeight="1">
      <c r="A64" s="51" t="s">
        <v>96</v>
      </c>
      <c r="B64" s="51">
        <v>39.0</v>
      </c>
      <c r="C64" s="51" t="s">
        <v>132</v>
      </c>
      <c r="D64" s="51" t="s">
        <v>133</v>
      </c>
      <c r="E64" s="51" t="s">
        <v>135</v>
      </c>
      <c r="F64" s="51">
        <v>1806.0</v>
      </c>
      <c r="G64" s="51">
        <v>9.619129989E9</v>
      </c>
      <c r="H64" s="51" t="s">
        <v>132</v>
      </c>
      <c r="I64" s="50">
        <v>63.0</v>
      </c>
    </row>
    <row r="65" ht="14.25" customHeight="1">
      <c r="A65" s="51" t="s">
        <v>97</v>
      </c>
      <c r="B65" s="51">
        <v>37.0</v>
      </c>
      <c r="C65" s="51" t="s">
        <v>132</v>
      </c>
      <c r="D65" s="51" t="s">
        <v>133</v>
      </c>
      <c r="E65" s="51" t="s">
        <v>135</v>
      </c>
      <c r="F65" s="51">
        <v>506.0</v>
      </c>
      <c r="G65" s="51">
        <v>7.838899593E9</v>
      </c>
      <c r="H65" s="51" t="s">
        <v>132</v>
      </c>
      <c r="I65" s="50">
        <v>64.0</v>
      </c>
    </row>
    <row r="66" ht="14.25" customHeight="1">
      <c r="A66" s="49" t="s">
        <v>98</v>
      </c>
      <c r="B66" s="49">
        <v>36.0</v>
      </c>
      <c r="C66" s="49" t="s">
        <v>132</v>
      </c>
      <c r="D66" s="49" t="s">
        <v>127</v>
      </c>
      <c r="E66" s="49" t="s">
        <v>128</v>
      </c>
      <c r="F66" s="49">
        <v>2601.0</v>
      </c>
      <c r="G66" s="49">
        <v>9.769226272E9</v>
      </c>
      <c r="H66" s="49" t="s">
        <v>132</v>
      </c>
      <c r="I66" s="50">
        <v>65.0</v>
      </c>
    </row>
    <row r="67" ht="14.25" customHeight="1">
      <c r="A67" s="51" t="s">
        <v>99</v>
      </c>
      <c r="B67" s="51">
        <v>42.0</v>
      </c>
      <c r="C67" s="51" t="s">
        <v>132</v>
      </c>
      <c r="D67" s="51" t="s">
        <v>127</v>
      </c>
      <c r="E67" s="51" t="s">
        <v>135</v>
      </c>
      <c r="F67" s="51">
        <v>2601.0</v>
      </c>
      <c r="G67" s="51">
        <v>9.61921849E9</v>
      </c>
      <c r="H67" s="51" t="s">
        <v>132</v>
      </c>
      <c r="I67" s="50">
        <v>66.0</v>
      </c>
    </row>
    <row r="68" ht="14.25" customHeight="1">
      <c r="A68" s="51" t="s">
        <v>100</v>
      </c>
      <c r="B68" s="51">
        <v>36.0</v>
      </c>
      <c r="C68" s="51" t="s">
        <v>132</v>
      </c>
      <c r="D68" s="51" t="s">
        <v>127</v>
      </c>
      <c r="E68" s="51" t="s">
        <v>131</v>
      </c>
      <c r="F68" s="51">
        <v>1005.0</v>
      </c>
      <c r="G68" s="51">
        <v>9.892466498E9</v>
      </c>
      <c r="H68" s="51" t="s">
        <v>132</v>
      </c>
      <c r="I68" s="50">
        <v>67.0</v>
      </c>
    </row>
    <row r="69" ht="14.25" customHeight="1">
      <c r="A69" s="51" t="s">
        <v>101</v>
      </c>
      <c r="B69" s="51">
        <v>34.0</v>
      </c>
      <c r="C69" s="51" t="s">
        <v>132</v>
      </c>
      <c r="D69" s="51" t="s">
        <v>127</v>
      </c>
      <c r="E69" s="51" t="s">
        <v>135</v>
      </c>
      <c r="F69" s="51">
        <v>2302.0</v>
      </c>
      <c r="G69" s="51">
        <v>9.86018158E9</v>
      </c>
      <c r="H69" s="51" t="s">
        <v>132</v>
      </c>
      <c r="I69" s="50">
        <v>68.0</v>
      </c>
    </row>
    <row r="70" ht="14.25" customHeight="1">
      <c r="A70" s="49" t="s">
        <v>102</v>
      </c>
      <c r="B70" s="49">
        <v>36.0</v>
      </c>
      <c r="C70" s="49" t="s">
        <v>132</v>
      </c>
      <c r="D70" s="49" t="s">
        <v>127</v>
      </c>
      <c r="E70" s="49" t="s">
        <v>131</v>
      </c>
      <c r="F70" s="49">
        <v>802.0</v>
      </c>
      <c r="G70" s="49">
        <v>9.408059795E9</v>
      </c>
      <c r="H70" s="49" t="s">
        <v>132</v>
      </c>
      <c r="I70" s="50">
        <v>69.0</v>
      </c>
    </row>
    <row r="71" ht="14.25" customHeight="1">
      <c r="A71" s="51" t="s">
        <v>103</v>
      </c>
      <c r="B71" s="51">
        <v>36.0</v>
      </c>
      <c r="C71" s="51" t="s">
        <v>132</v>
      </c>
      <c r="D71" s="51" t="s">
        <v>133</v>
      </c>
      <c r="E71" s="51" t="s">
        <v>135</v>
      </c>
      <c r="F71" s="51">
        <v>505.0</v>
      </c>
      <c r="G71" s="51">
        <v>9.867884696E9</v>
      </c>
      <c r="H71" s="51" t="s">
        <v>132</v>
      </c>
      <c r="I71" s="50">
        <v>70.0</v>
      </c>
    </row>
    <row r="72" ht="14.25" customHeight="1">
      <c r="A72" s="51" t="s">
        <v>104</v>
      </c>
      <c r="B72" s="51">
        <v>37.0</v>
      </c>
      <c r="C72" s="51" t="s">
        <v>132</v>
      </c>
      <c r="D72" s="51" t="s">
        <v>133</v>
      </c>
      <c r="E72" s="51" t="s">
        <v>135</v>
      </c>
      <c r="F72" s="51">
        <v>1002.0</v>
      </c>
      <c r="G72" s="51">
        <v>8.879080986E9</v>
      </c>
      <c r="H72" s="51" t="s">
        <v>132</v>
      </c>
      <c r="I72" s="50">
        <v>71.0</v>
      </c>
    </row>
    <row r="73" ht="14.25" customHeight="1">
      <c r="A73" s="49" t="s">
        <v>105</v>
      </c>
      <c r="B73" s="49">
        <v>37.0</v>
      </c>
      <c r="C73" s="49" t="s">
        <v>132</v>
      </c>
      <c r="D73" s="49" t="s">
        <v>127</v>
      </c>
      <c r="E73" s="49" t="s">
        <v>135</v>
      </c>
      <c r="F73" s="49">
        <v>1303.0</v>
      </c>
      <c r="G73" s="49">
        <v>9.833030374E9</v>
      </c>
      <c r="H73" s="49" t="s">
        <v>132</v>
      </c>
      <c r="I73" s="50">
        <v>72.0</v>
      </c>
    </row>
    <row r="74" ht="14.25" customHeight="1">
      <c r="A74" s="51" t="s">
        <v>106</v>
      </c>
      <c r="B74" s="51">
        <v>40.0</v>
      </c>
      <c r="C74" s="51" t="s">
        <v>132</v>
      </c>
      <c r="D74" s="51" t="s">
        <v>133</v>
      </c>
      <c r="E74" s="51" t="s">
        <v>131</v>
      </c>
      <c r="F74" s="51">
        <v>1402.0</v>
      </c>
      <c r="G74" s="51">
        <v>9.892049737E9</v>
      </c>
      <c r="H74" s="51" t="s">
        <v>132</v>
      </c>
      <c r="I74" s="50">
        <v>73.0</v>
      </c>
    </row>
    <row r="75" ht="14.25" customHeight="1">
      <c r="A75" s="51" t="s">
        <v>107</v>
      </c>
      <c r="B75" s="51">
        <v>32.0</v>
      </c>
      <c r="C75" s="51" t="s">
        <v>132</v>
      </c>
      <c r="D75" s="51" t="s">
        <v>133</v>
      </c>
      <c r="E75" s="51" t="s">
        <v>131</v>
      </c>
      <c r="F75" s="51">
        <v>1406.0</v>
      </c>
      <c r="G75" s="51">
        <v>9.029012347E9</v>
      </c>
      <c r="H75" s="51" t="s">
        <v>132</v>
      </c>
      <c r="I75" s="50">
        <v>74.0</v>
      </c>
    </row>
    <row r="76" ht="14.25" customHeight="1">
      <c r="A76" s="51" t="s">
        <v>108</v>
      </c>
      <c r="B76" s="51">
        <v>38.0</v>
      </c>
      <c r="C76" s="51" t="s">
        <v>132</v>
      </c>
      <c r="D76" s="51" t="s">
        <v>136</v>
      </c>
      <c r="E76" s="51" t="s">
        <v>131</v>
      </c>
      <c r="F76" s="51">
        <v>1504.0</v>
      </c>
      <c r="G76" s="51">
        <v>9.326826735E9</v>
      </c>
      <c r="H76" s="51" t="s">
        <v>132</v>
      </c>
      <c r="I76" s="50">
        <v>75.0</v>
      </c>
    </row>
    <row r="77" ht="14.25" customHeight="1">
      <c r="A77" s="49" t="s">
        <v>109</v>
      </c>
      <c r="B77" s="49">
        <v>36.0</v>
      </c>
      <c r="C77" s="49" t="s">
        <v>132</v>
      </c>
      <c r="D77" s="49" t="s">
        <v>127</v>
      </c>
      <c r="E77" s="49" t="s">
        <v>134</v>
      </c>
      <c r="F77" s="49">
        <v>2303.0</v>
      </c>
      <c r="G77" s="49">
        <v>9.967352172E9</v>
      </c>
      <c r="H77" s="49" t="s">
        <v>132</v>
      </c>
      <c r="I77" s="50">
        <v>76.0</v>
      </c>
    </row>
    <row r="78" ht="14.25" customHeight="1">
      <c r="A78" s="51" t="s">
        <v>110</v>
      </c>
      <c r="B78" s="51">
        <v>30.0</v>
      </c>
      <c r="C78" s="51" t="s">
        <v>132</v>
      </c>
      <c r="D78" s="51" t="s">
        <v>136</v>
      </c>
      <c r="E78" s="51" t="s">
        <v>131</v>
      </c>
      <c r="F78" s="51">
        <v>105.0</v>
      </c>
      <c r="G78" s="51">
        <v>9.765487629E9</v>
      </c>
      <c r="H78" s="51" t="s">
        <v>132</v>
      </c>
      <c r="I78" s="50">
        <v>77.0</v>
      </c>
    </row>
    <row r="79" ht="14.25" customHeight="1">
      <c r="A79" s="51" t="s">
        <v>111</v>
      </c>
      <c r="B79" s="51">
        <v>17.0</v>
      </c>
      <c r="C79" s="51" t="s">
        <v>132</v>
      </c>
      <c r="D79" s="51" t="s">
        <v>127</v>
      </c>
      <c r="E79" s="51" t="s">
        <v>131</v>
      </c>
      <c r="F79" s="51">
        <v>1006.0</v>
      </c>
      <c r="G79" s="51">
        <v>9.152536652E9</v>
      </c>
      <c r="H79" s="51" t="s">
        <v>132</v>
      </c>
      <c r="I79" s="50">
        <v>78.0</v>
      </c>
    </row>
    <row r="80" ht="14.25" customHeight="1">
      <c r="A80" s="51" t="s">
        <v>112</v>
      </c>
      <c r="B80" s="51">
        <v>27.0</v>
      </c>
      <c r="C80" s="51" t="s">
        <v>132</v>
      </c>
      <c r="D80" s="51" t="s">
        <v>127</v>
      </c>
      <c r="E80" s="51" t="s">
        <v>135</v>
      </c>
      <c r="F80" s="51">
        <v>2704.0</v>
      </c>
      <c r="G80" s="51">
        <v>9.137300387E9</v>
      </c>
      <c r="H80" s="51" t="s">
        <v>132</v>
      </c>
      <c r="I80" s="50">
        <v>79.0</v>
      </c>
    </row>
    <row r="81" ht="14.25" customHeight="1">
      <c r="A81" s="49" t="s">
        <v>113</v>
      </c>
      <c r="B81" s="49">
        <v>36.0</v>
      </c>
      <c r="C81" s="49" t="s">
        <v>132</v>
      </c>
      <c r="D81" s="49" t="s">
        <v>127</v>
      </c>
      <c r="E81" s="49" t="s">
        <v>128</v>
      </c>
      <c r="F81" s="49">
        <v>2202.0</v>
      </c>
      <c r="G81" s="49">
        <v>8.05006887E8</v>
      </c>
      <c r="H81" s="49" t="s">
        <v>132</v>
      </c>
      <c r="I81" s="50">
        <v>80.0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81">
    <sortState ref="A1:I81">
      <sortCondition ref="I1:I8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2025-02-18T17:20:08Z</dcterms:created>
  <dc:creator>Tankkar, Hrushikesh</dc:creator>
</cp:coreProperties>
</file>